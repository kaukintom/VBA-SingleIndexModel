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as\OneDrive\Efficient Portfolio Selection\"/>
    </mc:Choice>
  </mc:AlternateContent>
  <xr:revisionPtr revIDLastSave="0" documentId="13_ncr:1_{2826DCC9-D576-4019-8343-05E755A00CA8}" xr6:coauthVersionLast="31" xr6:coauthVersionMax="31" xr10:uidLastSave="{00000000-0000-0000-0000-000000000000}"/>
  <bookViews>
    <workbookView xWindow="0" yWindow="0" windowWidth="19200" windowHeight="6940" xr2:uid="{5822790E-4931-4474-96C6-FEB4FC836FB1}"/>
  </bookViews>
  <sheets>
    <sheet name="Stock List" sheetId="2" r:id="rId1"/>
    <sheet name="Allocation" sheetId="7" r:id="rId2"/>
    <sheet name="Portfolio Variance" sheetId="8" r:id="rId3"/>
    <sheet name="Stock Data" sheetId="1" r:id="rId4"/>
    <sheet name="Price Data" sheetId="9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<sst xmlns="http://schemas.openxmlformats.org/spreadsheetml/2006/main" count="521" uniqueCount="267">
  <si>
    <t>Symbol</t>
  </si>
  <si>
    <t>APIkey</t>
  </si>
  <si>
    <t>ARX.TO</t>
  </si>
  <si>
    <t>ATA.TO</t>
  </si>
  <si>
    <t>AAV.TO</t>
  </si>
  <si>
    <t>ARE.TO</t>
  </si>
  <si>
    <t>AEM.TO</t>
  </si>
  <si>
    <t>AC.TO</t>
  </si>
  <si>
    <t>ASR.TO</t>
  </si>
  <si>
    <t>AGI.TO</t>
  </si>
  <si>
    <t>AD.TO</t>
  </si>
  <si>
    <t>AQN.TO</t>
  </si>
  <si>
    <t>ALA.TO</t>
  </si>
  <si>
    <t>AIF.TO</t>
  </si>
  <si>
    <t>APH.TO</t>
  </si>
  <si>
    <t>BTO.TO</t>
  </si>
  <si>
    <t>BCE.TO</t>
  </si>
  <si>
    <t>DOO.TO</t>
  </si>
  <si>
    <t>BAD.TO</t>
  </si>
  <si>
    <t>BMO.TO</t>
  </si>
  <si>
    <t>BNS.TO</t>
  </si>
  <si>
    <t>ABX.TO</t>
  </si>
  <si>
    <t>BTE.TO</t>
  </si>
  <si>
    <t>BIR.TO</t>
  </si>
  <si>
    <t>BB.TO</t>
  </si>
  <si>
    <t>BLX.TO</t>
  </si>
  <si>
    <t>CAE.TO</t>
  </si>
  <si>
    <t>CEU.TO</t>
  </si>
  <si>
    <t>CIX.TO</t>
  </si>
  <si>
    <t>CCO.TO</t>
  </si>
  <si>
    <t>GOOS.TO</t>
  </si>
  <si>
    <t>CM.TO</t>
  </si>
  <si>
    <t>CNR.TO</t>
  </si>
  <si>
    <t>CNQ.TO</t>
  </si>
  <si>
    <t>CP.TO</t>
  </si>
  <si>
    <t>CU.TO</t>
  </si>
  <si>
    <t>CWB.TO</t>
  </si>
  <si>
    <t>CFP.TO</t>
  </si>
  <si>
    <t>WEED.TO</t>
  </si>
  <si>
    <t>CPX.TO</t>
  </si>
  <si>
    <t>CAS.TO</t>
  </si>
  <si>
    <t>CLS.TO</t>
  </si>
  <si>
    <t>CVE.TO</t>
  </si>
  <si>
    <t>CG.TO</t>
  </si>
  <si>
    <t>CHR.TO</t>
  </si>
  <si>
    <t>CGX.TO</t>
  </si>
  <si>
    <t>CCA.TO</t>
  </si>
  <si>
    <t>CIGI.TO</t>
  </si>
  <si>
    <t>CMG.TO</t>
  </si>
  <si>
    <t>CSU.TO</t>
  </si>
  <si>
    <t>BCB.TO</t>
  </si>
  <si>
    <t>CPG.TO</t>
  </si>
  <si>
    <t>CR.TO</t>
  </si>
  <si>
    <t>DSG.TO</t>
  </si>
  <si>
    <t>DGC.TO</t>
  </si>
  <si>
    <t>DOL.TO</t>
  </si>
  <si>
    <t>ECN.TO</t>
  </si>
  <si>
    <t>ELD.TO</t>
  </si>
  <si>
    <t>EFN.TO</t>
  </si>
  <si>
    <t>EMA.TO</t>
  </si>
  <si>
    <t>ENB.TO</t>
  </si>
  <si>
    <t>ENF.TO</t>
  </si>
  <si>
    <t>ECA.TO</t>
  </si>
  <si>
    <t>EDV.TO</t>
  </si>
  <si>
    <t>ECI.TO</t>
  </si>
  <si>
    <t>EFX.TO</t>
  </si>
  <si>
    <t>ERF.TO</t>
  </si>
  <si>
    <t>ENGH.TO</t>
  </si>
  <si>
    <t>ESI.TO</t>
  </si>
  <si>
    <t>EIF.TO</t>
  </si>
  <si>
    <t>EXE.TO</t>
  </si>
  <si>
    <t>FFH.TO</t>
  </si>
  <si>
    <t>FTT.TO</t>
  </si>
  <si>
    <t>FCR.TO</t>
  </si>
  <si>
    <t>FR.TO</t>
  </si>
  <si>
    <t>FM.TO</t>
  </si>
  <si>
    <t>FSV.TO</t>
  </si>
  <si>
    <t>FTS.TO</t>
  </si>
  <si>
    <t>FVI.TO</t>
  </si>
  <si>
    <t>FNV.TO</t>
  </si>
  <si>
    <t>FRU.TO</t>
  </si>
  <si>
    <t>MIC.TO</t>
  </si>
  <si>
    <t>WN.TO</t>
  </si>
  <si>
    <t>GEI.TO</t>
  </si>
  <si>
    <t>GIL.TO</t>
  </si>
  <si>
    <t>G.TO</t>
  </si>
  <si>
    <t>GTE.TO</t>
  </si>
  <si>
    <t>GC.TO</t>
  </si>
  <si>
    <t>GWO.TO</t>
  </si>
  <si>
    <t>GUY.TO</t>
  </si>
  <si>
    <t>HCG.TO</t>
  </si>
  <si>
    <t>HBM.TO</t>
  </si>
  <si>
    <t>HBC.TO</t>
  </si>
  <si>
    <t>HSE.TO</t>
  </si>
  <si>
    <t>H.TO</t>
  </si>
  <si>
    <t>IMG.TO</t>
  </si>
  <si>
    <t>IGM.TO</t>
  </si>
  <si>
    <t>IMO.TO</t>
  </si>
  <si>
    <t>IAG.TO</t>
  </si>
  <si>
    <t>INE.TO</t>
  </si>
  <si>
    <t>IFC.TO</t>
  </si>
  <si>
    <t>IPL.TO</t>
  </si>
  <si>
    <t>IFP.TO</t>
  </si>
  <si>
    <t>ITP.TO</t>
  </si>
  <si>
    <t>IVN.TO</t>
  </si>
  <si>
    <t>KEL.TO</t>
  </si>
  <si>
    <t>KEY.TO</t>
  </si>
  <si>
    <t>KXS.TO</t>
  </si>
  <si>
    <t>KML.TO</t>
  </si>
  <si>
    <t>K.TO</t>
  </si>
  <si>
    <t>KL.TO</t>
  </si>
  <si>
    <t>KDX.TO</t>
  </si>
  <si>
    <t>GUD.TO</t>
  </si>
  <si>
    <t>LIF.TO</t>
  </si>
  <si>
    <t>LB.TO</t>
  </si>
  <si>
    <t>LNR.TO</t>
  </si>
  <si>
    <t>L.TO</t>
  </si>
  <si>
    <t>LUC.TO</t>
  </si>
  <si>
    <t>LUN.TO</t>
  </si>
  <si>
    <t>MAG.TO</t>
  </si>
  <si>
    <t>MEG.TO</t>
  </si>
  <si>
    <t>MG.TO</t>
  </si>
  <si>
    <t>MFC.TO</t>
  </si>
  <si>
    <t>MFI.TO</t>
  </si>
  <si>
    <t>MRE.TO</t>
  </si>
  <si>
    <t>MAXR.TO</t>
  </si>
  <si>
    <t>MX.TO</t>
  </si>
  <si>
    <t>MRU.TO</t>
  </si>
  <si>
    <t>MNW.TO</t>
  </si>
  <si>
    <t>MSI.TO</t>
  </si>
  <si>
    <t>MTL.TO</t>
  </si>
  <si>
    <t>NA.TO</t>
  </si>
  <si>
    <t>NSU.TO</t>
  </si>
  <si>
    <t>NFI.TO</t>
  </si>
  <si>
    <t>NGD.TO</t>
  </si>
  <si>
    <t>NXE.TO</t>
  </si>
  <si>
    <t>OSB.TO</t>
  </si>
  <si>
    <t>NPI.TO</t>
  </si>
  <si>
    <t>NG.TO</t>
  </si>
  <si>
    <t>NVA.TO</t>
  </si>
  <si>
    <t>NTR.TO</t>
  </si>
  <si>
    <t>ONEX.TO</t>
  </si>
  <si>
    <t>OGC.TO</t>
  </si>
  <si>
    <t>OTEX.TO</t>
  </si>
  <si>
    <t>OR.TO</t>
  </si>
  <si>
    <t>PAAS.TO</t>
  </si>
  <si>
    <t>POU.TO</t>
  </si>
  <si>
    <t>PXT.TO</t>
  </si>
  <si>
    <t>PKI.TO</t>
  </si>
  <si>
    <t>PSI.TO</t>
  </si>
  <si>
    <t>PPL.TO</t>
  </si>
  <si>
    <t>PEY.TO</t>
  </si>
  <si>
    <t>POW.TO</t>
  </si>
  <si>
    <t>PWF.TO</t>
  </si>
  <si>
    <t>PSK.TO</t>
  </si>
  <si>
    <t>PD.TO</t>
  </si>
  <si>
    <t>PBH.TO</t>
  </si>
  <si>
    <t>PVG.TO</t>
  </si>
  <si>
    <t>PLI.TO</t>
  </si>
  <si>
    <t>RRX.TO</t>
  </si>
  <si>
    <t>QSR.TO</t>
  </si>
  <si>
    <t>RBA.TO</t>
  </si>
  <si>
    <t>RY.TO</t>
  </si>
  <si>
    <t>RUS.TO</t>
  </si>
  <si>
    <t>SNC.TO</t>
  </si>
  <si>
    <t>SSRM.TO</t>
  </si>
  <si>
    <t>SSL.TO</t>
  </si>
  <si>
    <t>SAP.TO</t>
  </si>
  <si>
    <t>SES.TO</t>
  </si>
  <si>
    <t>SMF.TO</t>
  </si>
  <si>
    <t>VII.TO</t>
  </si>
  <si>
    <t>SCL.TO</t>
  </si>
  <si>
    <t>SHOP.TO</t>
  </si>
  <si>
    <t>SW.TO</t>
  </si>
  <si>
    <t>ZZZ.TO</t>
  </si>
  <si>
    <t>SPE.TO</t>
  </si>
  <si>
    <t>TOY.TO</t>
  </si>
  <si>
    <t>STN.TO</t>
  </si>
  <si>
    <t>SJ.TO</t>
  </si>
  <si>
    <t>SLF.TO</t>
  </si>
  <si>
    <t>SU.TO</t>
  </si>
  <si>
    <t>SPB.TO</t>
  </si>
  <si>
    <t>T.TO</t>
  </si>
  <si>
    <t>TFII.TO</t>
  </si>
  <si>
    <t>X.TO</t>
  </si>
  <si>
    <t>TOG.TO</t>
  </si>
  <si>
    <t>THO.TO</t>
  </si>
  <si>
    <t>NWC.TO</t>
  </si>
  <si>
    <t>TSGI.TO</t>
  </si>
  <si>
    <t>TRI.TO</t>
  </si>
  <si>
    <t>TXG.TO</t>
  </si>
  <si>
    <t>TIH.TO</t>
  </si>
  <si>
    <t>TD.TO</t>
  </si>
  <si>
    <t>TOU.TO</t>
  </si>
  <si>
    <t>TA.TO</t>
  </si>
  <si>
    <t>RNW.TO</t>
  </si>
  <si>
    <t>TRP.TO</t>
  </si>
  <si>
    <t>TCW.TO</t>
  </si>
  <si>
    <t>TCN.TO</t>
  </si>
  <si>
    <t>TRQ.TO</t>
  </si>
  <si>
    <t>UNS.TO</t>
  </si>
  <si>
    <t>VRX.TO</t>
  </si>
  <si>
    <t>VET.TO</t>
  </si>
  <si>
    <t>WSP.TO</t>
  </si>
  <si>
    <t>WCN.TO</t>
  </si>
  <si>
    <t>WFT.TO</t>
  </si>
  <si>
    <t>WJA.TO</t>
  </si>
  <si>
    <t>WEF.TO</t>
  </si>
  <si>
    <t>WTE.TO</t>
  </si>
  <si>
    <t>WPM.TO</t>
  </si>
  <si>
    <t>WCP.TO</t>
  </si>
  <si>
    <t>WPK.TO</t>
  </si>
  <si>
    <t>YRI.TO</t>
  </si>
  <si>
    <t>Weight</t>
  </si>
  <si>
    <t>Investment</t>
  </si>
  <si>
    <t>Allocation Period (months)</t>
  </si>
  <si>
    <t>ACO.X</t>
  </si>
  <si>
    <t>ATD.B</t>
  </si>
  <si>
    <t>AP.UN</t>
  </si>
  <si>
    <t>AX.UN</t>
  </si>
  <si>
    <t>BEI.UN</t>
  </si>
  <si>
    <t>BBD.B</t>
  </si>
  <si>
    <t>BYD.UN</t>
  </si>
  <si>
    <t>BAM.A</t>
  </si>
  <si>
    <t>BBU.UN</t>
  </si>
  <si>
    <t>BIP.UN</t>
  </si>
  <si>
    <t>BPY.UN</t>
  </si>
  <si>
    <t>BEP.UN</t>
  </si>
  <si>
    <t>CCL.B</t>
  </si>
  <si>
    <t>GIB.A</t>
  </si>
  <si>
    <t>CAR.UN</t>
  </si>
  <si>
    <t>REF.UN</t>
  </si>
  <si>
    <t>CTC.A</t>
  </si>
  <si>
    <t>CSH.UN</t>
  </si>
  <si>
    <t>CHE.UN</t>
  </si>
  <si>
    <t>CUF.UN</t>
  </si>
  <si>
    <t>CJR.B</t>
  </si>
  <si>
    <t>CRR.UN</t>
  </si>
  <si>
    <t>DII.B</t>
  </si>
  <si>
    <t>DRG.UN</t>
  </si>
  <si>
    <t>D.UN</t>
  </si>
  <si>
    <t>EMP.A</t>
  </si>
  <si>
    <t>GRT.UN</t>
  </si>
  <si>
    <t>HR.UN</t>
  </si>
  <si>
    <t>PJC.A</t>
  </si>
  <si>
    <t>KMP.UN</t>
  </si>
  <si>
    <t>NVU.UN</t>
  </si>
  <si>
    <t>AAR.UN</t>
  </si>
  <si>
    <t>QBR.B</t>
  </si>
  <si>
    <t>REI.UN</t>
  </si>
  <si>
    <t>RCI.B</t>
  </si>
  <si>
    <t>SJR.B</t>
  </si>
  <si>
    <t>SRU.UN</t>
  </si>
  <si>
    <t>TECK.B</t>
  </si>
  <si>
    <t>TCL.A</t>
  </si>
  <si>
    <t>Beta (B)</t>
  </si>
  <si>
    <t>Current Price</t>
  </si>
  <si>
    <t>Index</t>
  </si>
  <si>
    <t>Inclusion</t>
  </si>
  <si>
    <t>Actual Return</t>
  </si>
  <si>
    <t>Alpha</t>
  </si>
  <si>
    <t>Expected Return (R)</t>
  </si>
  <si>
    <t>Residual Return Variance</t>
  </si>
  <si>
    <t>Phi</t>
  </si>
  <si>
    <t>Expected R Over B</t>
  </si>
  <si>
    <t>Daily Data Points</t>
  </si>
  <si>
    <t>Risk Free Rate (annual)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</si>
</sst>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;[Red]\-&quot;$&quot;#,##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EDC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/>
    <xf numFmtId="0" fontId="0" fillId="0" borderId="1" xfId="0" applyFill="1" applyBorder="1"/>
    <xf numFmtId="0" fontId="0" fillId="0" borderId="2" xfId="0" applyFill="1" applyBorder="1"/>
    <xf numFmtId="10" fontId="0" fillId="0" borderId="3" xfId="0" applyNumberFormat="1" applyFill="1" applyBorder="1"/>
    <xf numFmtId="6" fontId="0" fillId="0" borderId="3" xfId="0" applyNumberFormat="1" applyFill="1" applyBorder="1"/>
    <xf numFmtId="0" fontId="0" fillId="0" borderId="3" xfId="0" applyNumberFormat="1" applyFill="1" applyBorder="1"/>
    <xf numFmtId="0" fontId="0" fillId="0" borderId="4" xfId="0" applyNumberFormat="1" applyFill="1" applyBorder="1"/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5" xfId="0" applyFill="1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31" fmlaLink="$B$4" max="4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3</xdr:row>
          <xdr:rowOff>6350</xdr:rowOff>
        </xdr:from>
        <xdr:to>
          <xdr:col>2</xdr:col>
          <xdr:colOff>571500</xdr:colOff>
          <xdr:row>3</xdr:row>
          <xdr:rowOff>171450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449AB-2D25-4B97-975D-F417A9461945}">
  <sheetPr codeName="Sheet2"/>
  <dimension ref="A1:K7"/>
  <sheetViews>
    <sheetView tabSelected="1" workbookViewId="0">
      <selection activeCell="C13" sqref="C13"/>
    </sheetView>
  </sheetViews>
  <sheetFormatPr defaultRowHeight="14.5" x14ac:dyDescent="0.35"/>
  <cols>
    <col min="1" max="1" width="23.26953125" bestFit="1" customWidth="1"/>
    <col min="2" max="2" width="17.36328125" bestFit="1" customWidth="1"/>
    <col min="3" max="3" width="8.26953125" bestFit="1" customWidth="1"/>
    <col min="4" max="6" width="12.453125" bestFit="1" customWidth="1"/>
    <col min="7" max="7" width="17.453125" bestFit="1" customWidth="1"/>
    <col min="8" max="8" width="21.81640625" bestFit="1" customWidth="1"/>
    <col min="9" max="9" width="16" bestFit="1" customWidth="1"/>
    <col min="10" max="11" width="11.81640625" bestFit="1" customWidth="1"/>
  </cols>
  <sheetData>
    <row r="1" spans="1:11" ht="15" thickBot="1" x14ac:dyDescent="0.4">
      <c r="A1" s="12" t="s">
        <v>1</v>
      </c>
      <c r="B1" s="13"/>
      <c r="D1" s="13" t="s">
        <v>257</v>
      </c>
    </row>
    <row r="2" spans="1:11" x14ac:dyDescent="0.35">
      <c r="A2" s="3" t="s">
        <v>266</v>
      </c>
      <c r="B2" s="5"/>
    </row>
    <row r="3" spans="1:11" x14ac:dyDescent="0.35">
      <c r="A3" s="3" t="s">
        <v>214</v>
      </c>
      <c r="B3" s="6"/>
    </row>
    <row r="4" spans="1:11" x14ac:dyDescent="0.35">
      <c r="A4" s="3" t="s">
        <v>215</v>
      </c>
      <c r="B4" s="7">
        <v>1</v>
      </c>
    </row>
    <row r="5" spans="1:11" ht="15" thickBot="1" x14ac:dyDescent="0.4">
      <c r="A5" s="4" t="s">
        <v>265</v>
      </c>
      <c r="B5" s="8"/>
    </row>
    <row r="6" spans="1:11" ht="15" thickBot="1" x14ac:dyDescent="0.4">
      <c r="A6" s="2"/>
      <c r="B6" s="2"/>
    </row>
    <row r="7" spans="1:11" ht="15" thickBot="1" x14ac:dyDescent="0.4">
      <c r="A7" s="11" t="s">
        <v>0</v>
      </c>
      <c r="B7" s="9" t="s">
        <v>257</v>
      </c>
      <c r="C7" s="9" t="s">
        <v>258</v>
      </c>
      <c r="D7" s="10" t="s">
        <v>259</v>
      </c>
      <c r="E7" s="9" t="s">
        <v>260</v>
      </c>
      <c r="F7" s="9" t="s">
        <v>255</v>
      </c>
      <c r="G7" s="9" t="s">
        <v>261</v>
      </c>
      <c r="H7" s="9" t="s">
        <v>262</v>
      </c>
      <c r="I7" s="9" t="s">
        <v>264</v>
      </c>
      <c r="J7" s="11" t="s">
        <v>263</v>
      </c>
      <c r="K7" s="10" t="s">
        <v>213</v>
      </c>
    </row>
  </sheetData>
  <dataValidations count="1">
    <dataValidation type="whole" allowBlank="1" showInputMessage="1" showErrorMessage="1" errorTitle="Value Error" error="Has to be a whole number between 1 and 4" sqref="B4" xr:uid="{9E02AE03-F41F-43EF-9F20-ED16BB5F2A2B}">
      <formula1>1</formula1>
      <formula2>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2</xdr:col>
                    <xdr:colOff>6350</xdr:colOff>
                    <xdr:row>3</xdr:row>
                    <xdr:rowOff>6350</xdr:rowOff>
                  </from>
                  <to>
                    <xdr:col>2</xdr:col>
                    <xdr:colOff>571500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084FD-5CE5-45F5-9741-D7AED854D78C}">
  <sheetPr codeName="Sheet4"/>
  <dimension ref="A1:I1"/>
  <sheetViews>
    <sheetView topLeftCell="A4" workbookViewId="0">
      <selection activeCell="A4" sqref="A4"/>
    </sheetView>
  </sheetViews>
  <sheetFormatPr defaultRowHeight="14.5" x14ac:dyDescent="0.35"/>
  <cols>
    <col min="1" max="1" width="8.7265625" style="1"/>
    <col min="7" max="7" width="8.7265625" style="1"/>
    <col min="9" max="9" width="8.7265625" style="1"/>
  </cols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0C0B-3272-4CA1-AD4B-DF2C9609287C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629C8-3FD7-4939-9BD1-2E0B06294B6A}">
  <sheetPr codeName="Sheet1"/>
  <dimension ref="A1"/>
  <sheetViews>
    <sheetView workbookViewId="0"/>
  </sheetViews>
  <sheetFormatPr defaultRowHeight="14.5" x14ac:dyDescent="0.35"/>
  <cols>
    <col min="1" max="1" width="10.08984375" bestFit="1" customWidth="1"/>
    <col min="2" max="2" width="13.26953125" bestFit="1" customWidth="1"/>
    <col min="3" max="3" width="12.453125" bestFit="1" customWidth="1"/>
    <col min="4" max="4" width="10.08984375" bestFit="1" customWidth="1"/>
    <col min="5" max="5" width="13.26953125" bestFit="1" customWidth="1"/>
    <col min="6" max="6" width="12.453125" bestFit="1" customWidth="1"/>
    <col min="7" max="7" width="10.08984375" bestFit="1" customWidth="1"/>
    <col min="8" max="8" width="13.26953125" bestFit="1" customWidth="1"/>
    <col min="9" max="9" width="12.453125" bestFit="1" customWidth="1"/>
    <col min="10" max="10" width="10.08984375" bestFit="1" customWidth="1"/>
    <col min="11" max="11" width="13.26953125" bestFit="1" customWidth="1"/>
    <col min="12" max="12" width="12.453125" bestFit="1" customWidth="1"/>
    <col min="13" max="13" width="10.08984375" bestFit="1" customWidth="1"/>
    <col min="14" max="14" width="13.26953125" bestFit="1" customWidth="1"/>
    <col min="15" max="15" width="12.453125" bestFit="1" customWidth="1"/>
    <col min="16" max="16" width="10.08984375" bestFit="1" customWidth="1"/>
    <col min="17" max="17" width="13.26953125" bestFit="1" customWidth="1"/>
    <col min="18" max="18" width="12.453125" bestFit="1" customWidth="1"/>
    <col min="19" max="19" width="10.08984375" bestFit="1" customWidth="1"/>
    <col min="20" max="20" width="13.26953125" bestFit="1" customWidth="1"/>
    <col min="21" max="21" width="12.453125" bestFit="1" customWidth="1"/>
    <col min="22" max="22" width="10.08984375" bestFit="1" customWidth="1"/>
    <col min="23" max="23" width="13.26953125" bestFit="1" customWidth="1"/>
    <col min="24" max="24" width="12.453125" bestFit="1" customWidth="1"/>
    <col min="25" max="25" width="10.08984375" bestFit="1" customWidth="1"/>
    <col min="26" max="26" width="13.26953125" bestFit="1" customWidth="1"/>
    <col min="27" max="27" width="12.453125" bestFit="1" customWidth="1"/>
    <col min="28" max="28" width="10.08984375" bestFit="1" customWidth="1"/>
    <col min="29" max="29" width="13.26953125" bestFit="1" customWidth="1"/>
    <col min="30" max="30" width="12.453125" bestFit="1" customWidth="1"/>
    <col min="31" max="31" width="10.08984375" bestFit="1" customWidth="1"/>
    <col min="32" max="32" width="13.26953125" bestFit="1" customWidth="1"/>
    <col min="33" max="33" width="12.453125" bestFit="1" customWidth="1"/>
    <col min="34" max="34" width="10.08984375" bestFit="1" customWidth="1"/>
    <col min="35" max="35" width="13.26953125" bestFit="1" customWidth="1"/>
    <col min="36" max="36" width="12.453125" bestFit="1" customWidth="1"/>
    <col min="37" max="37" width="10.08984375" bestFit="1" customWidth="1"/>
    <col min="38" max="38" width="13.26953125" bestFit="1" customWidth="1"/>
    <col min="39" max="39" width="12.453125" bestFit="1" customWidth="1"/>
    <col min="40" max="40" width="10.08984375" bestFit="1" customWidth="1"/>
    <col min="41" max="41" width="13.26953125" bestFit="1" customWidth="1"/>
    <col min="42" max="42" width="12.453125" bestFit="1" customWidth="1"/>
    <col min="43" max="43" width="10.08984375" bestFit="1" customWidth="1"/>
    <col min="44" max="44" width="13.26953125" bestFit="1" customWidth="1"/>
    <col min="45" max="45" width="12.453125" bestFit="1" customWidth="1"/>
    <col min="46" max="46" width="10.08984375" bestFit="1" customWidth="1"/>
    <col min="47" max="47" width="13.26953125" bestFit="1" customWidth="1"/>
    <col min="48" max="48" width="12.453125" bestFit="1" customWidth="1"/>
    <col min="49" max="49" width="10.08984375" bestFit="1" customWidth="1"/>
    <col min="50" max="50" width="13.26953125" bestFit="1" customWidth="1"/>
    <col min="51" max="51" width="12.453125" bestFit="1" customWidth="1"/>
    <col min="52" max="52" width="10.08984375" bestFit="1" customWidth="1"/>
    <col min="53" max="53" width="13.26953125" bestFit="1" customWidth="1"/>
    <col min="54" max="54" width="12.453125" bestFit="1" customWidth="1"/>
    <col min="55" max="55" width="10.08984375" bestFit="1" customWidth="1"/>
    <col min="56" max="56" width="13.26953125" bestFit="1" customWidth="1"/>
    <col min="57" max="57" width="12.453125" bestFit="1" customWidth="1"/>
    <col min="58" max="58" width="10.08984375" bestFit="1" customWidth="1"/>
    <col min="59" max="59" width="13.26953125" bestFit="1" customWidth="1"/>
    <col min="60" max="60" width="12.453125" bestFit="1" customWidth="1"/>
    <col min="61" max="61" width="10.08984375" bestFit="1" customWidth="1"/>
    <col min="62" max="62" width="13.26953125" bestFit="1" customWidth="1"/>
    <col min="63" max="63" width="12.453125" bestFit="1" customWidth="1"/>
    <col min="64" max="64" width="10.08984375" bestFit="1" customWidth="1"/>
    <col min="65" max="65" width="13.26953125" bestFit="1" customWidth="1"/>
    <col min="66" max="66" width="12.453125" bestFit="1" customWidth="1"/>
    <col min="67" max="67" width="10.08984375" bestFit="1" customWidth="1"/>
    <col min="68" max="68" width="13.26953125" bestFit="1" customWidth="1"/>
    <col min="69" max="69" width="12.453125" bestFit="1" customWidth="1"/>
    <col min="70" max="70" width="10.08984375" bestFit="1" customWidth="1"/>
    <col min="71" max="71" width="13.26953125" bestFit="1" customWidth="1"/>
    <col min="72" max="72" width="12.453125" bestFit="1" customWidth="1"/>
    <col min="73" max="73" width="10.08984375" bestFit="1" customWidth="1"/>
    <col min="74" max="74" width="13.26953125" bestFit="1" customWidth="1"/>
    <col min="75" max="75" width="12.453125" bestFit="1" customWidth="1"/>
    <col min="76" max="76" width="10.08984375" bestFit="1" customWidth="1"/>
    <col min="77" max="77" width="13.26953125" bestFit="1" customWidth="1"/>
    <col min="78" max="78" width="12.453125" bestFit="1" customWidth="1"/>
    <col min="79" max="79" width="10.08984375" bestFit="1" customWidth="1"/>
    <col min="80" max="80" width="13.26953125" bestFit="1" customWidth="1"/>
    <col min="81" max="81" width="12.453125" bestFit="1" customWidth="1"/>
    <col min="82" max="82" width="10.08984375" bestFit="1" customWidth="1"/>
    <col min="83" max="83" width="13.26953125" bestFit="1" customWidth="1"/>
    <col min="84" max="84" width="12.453125" bestFit="1" customWidth="1"/>
    <col min="85" max="85" width="10.08984375" bestFit="1" customWidth="1"/>
    <col min="86" max="86" width="13.26953125" bestFit="1" customWidth="1"/>
    <col min="87" max="87" width="12.453125" bestFit="1" customWidth="1"/>
    <col min="88" max="88" width="10.08984375" bestFit="1" customWidth="1"/>
    <col min="89" max="89" width="13.26953125" bestFit="1" customWidth="1"/>
    <col min="90" max="90" width="12.453125" bestFit="1" customWidth="1"/>
    <col min="91" max="91" width="10.08984375" bestFit="1" customWidth="1"/>
    <col min="92" max="92" width="13.26953125" bestFit="1" customWidth="1"/>
    <col min="93" max="93" width="12.453125" bestFit="1" customWidth="1"/>
    <col min="94" max="94" width="10.08984375" bestFit="1" customWidth="1"/>
    <col min="95" max="95" width="13.26953125" bestFit="1" customWidth="1"/>
    <col min="96" max="96" width="12.453125" bestFit="1" customWidth="1"/>
    <col min="97" max="97" width="10.08984375" bestFit="1" customWidth="1"/>
    <col min="98" max="98" width="13.26953125" bestFit="1" customWidth="1"/>
    <col min="99" max="99" width="12.453125" bestFit="1" customWidth="1"/>
    <col min="100" max="100" width="10.08984375" bestFit="1" customWidth="1"/>
    <col min="101" max="101" width="13.26953125" bestFit="1" customWidth="1"/>
    <col min="102" max="102" width="12.453125" bestFit="1" customWidth="1"/>
    <col min="103" max="103" width="10.08984375" bestFit="1" customWidth="1"/>
    <col min="104" max="104" width="13.26953125" bestFit="1" customWidth="1"/>
    <col min="105" max="105" width="12.453125" bestFit="1" customWidth="1"/>
    <col min="106" max="106" width="10.08984375" bestFit="1" customWidth="1"/>
    <col min="107" max="107" width="13.26953125" bestFit="1" customWidth="1"/>
    <col min="108" max="108" width="12.453125" bestFit="1" customWidth="1"/>
    <col min="109" max="109" width="10.08984375" bestFit="1" customWidth="1"/>
    <col min="110" max="110" width="13.26953125" bestFit="1" customWidth="1"/>
    <col min="111" max="111" width="12.453125" bestFit="1" customWidth="1"/>
    <col min="112" max="112" width="10.08984375" bestFit="1" customWidth="1"/>
    <col min="113" max="113" width="13.26953125" bestFit="1" customWidth="1"/>
    <col min="114" max="114" width="12.453125" bestFit="1" customWidth="1"/>
    <col min="115" max="115" width="10.08984375" bestFit="1" customWidth="1"/>
    <col min="116" max="116" width="13.26953125" bestFit="1" customWidth="1"/>
    <col min="117" max="117" width="12.453125" bestFit="1" customWidth="1"/>
    <col min="118" max="118" width="10.08984375" bestFit="1" customWidth="1"/>
    <col min="119" max="119" width="13.26953125" bestFit="1" customWidth="1"/>
    <col min="120" max="120" width="12.453125" bestFit="1" customWidth="1"/>
    <col min="121" max="121" width="10.08984375" bestFit="1" customWidth="1"/>
    <col min="122" max="122" width="13.26953125" bestFit="1" customWidth="1"/>
    <col min="123" max="123" width="12.453125" bestFit="1" customWidth="1"/>
    <col min="124" max="124" width="10.08984375" bestFit="1" customWidth="1"/>
    <col min="125" max="125" width="13.26953125" bestFit="1" customWidth="1"/>
    <col min="126" max="126" width="12.453125" bestFit="1" customWidth="1"/>
    <col min="127" max="127" width="10.08984375" bestFit="1" customWidth="1"/>
    <col min="128" max="128" width="13.26953125" bestFit="1" customWidth="1"/>
    <col min="129" max="129" width="12.453125" bestFit="1" customWidth="1"/>
    <col min="130" max="130" width="10.08984375" bestFit="1" customWidth="1"/>
    <col min="131" max="131" width="13.26953125" bestFit="1" customWidth="1"/>
    <col min="132" max="132" width="12.453125" bestFit="1" customWidth="1"/>
    <col min="133" max="133" width="10.08984375" bestFit="1" customWidth="1"/>
    <col min="134" max="134" width="13.26953125" bestFit="1" customWidth="1"/>
    <col min="135" max="135" width="12.453125" bestFit="1" customWidth="1"/>
    <col min="136" max="136" width="10.08984375" bestFit="1" customWidth="1"/>
    <col min="137" max="137" width="13.26953125" bestFit="1" customWidth="1"/>
    <col min="138" max="138" width="12.453125" bestFit="1" customWidth="1"/>
    <col min="139" max="139" width="10.08984375" bestFit="1" customWidth="1"/>
    <col min="140" max="140" width="13.26953125" bestFit="1" customWidth="1"/>
    <col min="141" max="141" width="12.453125" bestFit="1" customWidth="1"/>
    <col min="142" max="142" width="10.08984375" bestFit="1" customWidth="1"/>
    <col min="143" max="143" width="13.26953125" bestFit="1" customWidth="1"/>
    <col min="144" max="144" width="12.453125" bestFit="1" customWidth="1"/>
    <col min="145" max="145" width="10.08984375" bestFit="1" customWidth="1"/>
    <col min="146" max="146" width="13.26953125" bestFit="1" customWidth="1"/>
    <col min="147" max="147" width="12.453125" bestFit="1" customWidth="1"/>
    <col min="148" max="148" width="10.08984375" bestFit="1" customWidth="1"/>
    <col min="149" max="149" width="13.26953125" bestFit="1" customWidth="1"/>
    <col min="150" max="150" width="12.453125" bestFit="1" customWidth="1"/>
    <col min="151" max="151" width="10.08984375" bestFit="1" customWidth="1"/>
    <col min="152" max="152" width="13.26953125" bestFit="1" customWidth="1"/>
    <col min="153" max="153" width="12.453125" bestFit="1" customWidth="1"/>
    <col min="154" max="154" width="10.08984375" bestFit="1" customWidth="1"/>
    <col min="155" max="155" width="13.26953125" bestFit="1" customWidth="1"/>
    <col min="156" max="156" width="12.453125" bestFit="1" customWidth="1"/>
    <col min="157" max="157" width="10.08984375" bestFit="1" customWidth="1"/>
    <col min="158" max="158" width="13.26953125" bestFit="1" customWidth="1"/>
    <col min="159" max="159" width="12.453125" bestFit="1" customWidth="1"/>
    <col min="160" max="160" width="10.08984375" bestFit="1" customWidth="1"/>
    <col min="161" max="161" width="13.26953125" bestFit="1" customWidth="1"/>
    <col min="162" max="162" width="12.453125" bestFit="1" customWidth="1"/>
    <col min="163" max="163" width="10.08984375" bestFit="1" customWidth="1"/>
    <col min="164" max="164" width="13.26953125" bestFit="1" customWidth="1"/>
    <col min="165" max="165" width="12.453125" bestFit="1" customWidth="1"/>
    <col min="166" max="166" width="10.08984375" bestFit="1" customWidth="1"/>
    <col min="167" max="167" width="13.26953125" bestFit="1" customWidth="1"/>
    <col min="168" max="168" width="12.453125" bestFit="1" customWidth="1"/>
    <col min="169" max="169" width="10.08984375" bestFit="1" customWidth="1"/>
    <col min="170" max="170" width="13.26953125" bestFit="1" customWidth="1"/>
    <col min="171" max="171" width="12.453125" bestFit="1" customWidth="1"/>
    <col min="172" max="172" width="10.08984375" bestFit="1" customWidth="1"/>
    <col min="173" max="173" width="13.26953125" bestFit="1" customWidth="1"/>
    <col min="174" max="174" width="12.453125" bestFit="1" customWidth="1"/>
    <col min="175" max="175" width="10.08984375" bestFit="1" customWidth="1"/>
    <col min="176" max="176" width="13.26953125" bestFit="1" customWidth="1"/>
    <col min="177" max="177" width="12.453125" bestFit="1" customWidth="1"/>
    <col min="178" max="178" width="10.08984375" bestFit="1" customWidth="1"/>
    <col min="179" max="179" width="13.26953125" bestFit="1" customWidth="1"/>
    <col min="180" max="180" width="12.453125" bestFit="1" customWidth="1"/>
    <col min="181" max="181" width="10.08984375" bestFit="1" customWidth="1"/>
    <col min="182" max="182" width="13.26953125" bestFit="1" customWidth="1"/>
    <col min="183" max="183" width="12.453125" bestFit="1" customWidth="1"/>
    <col min="184" max="184" width="10.08984375" bestFit="1" customWidth="1"/>
    <col min="185" max="185" width="13.26953125" bestFit="1" customWidth="1"/>
    <col min="186" max="186" width="12.453125" bestFit="1" customWidth="1"/>
    <col min="187" max="187" width="10.08984375" bestFit="1" customWidth="1"/>
    <col min="188" max="188" width="13.26953125" bestFit="1" customWidth="1"/>
    <col min="189" max="189" width="12.453125" bestFit="1" customWidth="1"/>
    <col min="190" max="190" width="10.08984375" bestFit="1" customWidth="1"/>
    <col min="191" max="191" width="13.26953125" bestFit="1" customWidth="1"/>
    <col min="192" max="192" width="12.453125" bestFit="1" customWidth="1"/>
    <col min="193" max="193" width="10.08984375" bestFit="1" customWidth="1"/>
    <col min="194" max="194" width="13.26953125" bestFit="1" customWidth="1"/>
    <col min="195" max="195" width="12.453125" bestFit="1" customWidth="1"/>
    <col min="196" max="196" width="10.08984375" bestFit="1" customWidth="1"/>
    <col min="197" max="197" width="13.26953125" bestFit="1" customWidth="1"/>
    <col min="198" max="198" width="12.453125" bestFit="1" customWidth="1"/>
    <col min="199" max="199" width="10.08984375" bestFit="1" customWidth="1"/>
    <col min="200" max="200" width="13.26953125" bestFit="1" customWidth="1"/>
    <col min="201" max="201" width="12.453125" bestFit="1" customWidth="1"/>
    <col min="202" max="202" width="10.08984375" bestFit="1" customWidth="1"/>
    <col min="203" max="203" width="13.26953125" bestFit="1" customWidth="1"/>
    <col min="204" max="204" width="12.453125" bestFit="1" customWidth="1"/>
    <col min="205" max="205" width="10.08984375" bestFit="1" customWidth="1"/>
    <col min="206" max="206" width="13.26953125" bestFit="1" customWidth="1"/>
    <col min="207" max="207" width="12.453125" bestFit="1" customWidth="1"/>
    <col min="208" max="208" width="10.08984375" bestFit="1" customWidth="1"/>
    <col min="209" max="209" width="13.26953125" bestFit="1" customWidth="1"/>
    <col min="210" max="210" width="12.453125" bestFit="1" customWidth="1"/>
    <col min="211" max="211" width="10.08984375" bestFit="1" customWidth="1"/>
    <col min="212" max="212" width="13.26953125" bestFit="1" customWidth="1"/>
    <col min="213" max="213" width="12.453125" bestFit="1" customWidth="1"/>
    <col min="214" max="214" width="10.08984375" bestFit="1" customWidth="1"/>
    <col min="215" max="215" width="13.26953125" bestFit="1" customWidth="1"/>
    <col min="216" max="216" width="12.453125" bestFit="1" customWidth="1"/>
    <col min="217" max="217" width="10.08984375" bestFit="1" customWidth="1"/>
    <col min="218" max="218" width="13.26953125" bestFit="1" customWidth="1"/>
    <col min="219" max="219" width="12.453125" bestFit="1" customWidth="1"/>
    <col min="220" max="220" width="10.08984375" bestFit="1" customWidth="1"/>
    <col min="221" max="221" width="13.26953125" bestFit="1" customWidth="1"/>
    <col min="222" max="222" width="12.453125" bestFit="1" customWidth="1"/>
    <col min="223" max="223" width="10.08984375" bestFit="1" customWidth="1"/>
    <col min="224" max="224" width="13.26953125" bestFit="1" customWidth="1"/>
    <col min="225" max="225" width="12.453125" bestFit="1" customWidth="1"/>
    <col min="226" max="226" width="10.08984375" bestFit="1" customWidth="1"/>
    <col min="227" max="227" width="13.26953125" bestFit="1" customWidth="1"/>
    <col min="228" max="228" width="12.453125" bestFit="1" customWidth="1"/>
    <col min="229" max="229" width="10.08984375" bestFit="1" customWidth="1"/>
    <col min="230" max="230" width="13.26953125" bestFit="1" customWidth="1"/>
    <col min="231" max="231" width="12.453125" bestFit="1" customWidth="1"/>
    <col min="232" max="232" width="10.08984375" bestFit="1" customWidth="1"/>
    <col min="233" max="233" width="13.26953125" bestFit="1" customWidth="1"/>
    <col min="234" max="234" width="12.453125" bestFit="1" customWidth="1"/>
    <col min="235" max="235" width="10.08984375" bestFit="1" customWidth="1"/>
    <col min="236" max="236" width="13.26953125" bestFit="1" customWidth="1"/>
    <col min="237" max="237" width="12.453125" bestFit="1" customWidth="1"/>
    <col min="238" max="238" width="10.08984375" bestFit="1" customWidth="1"/>
    <col min="239" max="239" width="13.26953125" bestFit="1" customWidth="1"/>
    <col min="240" max="240" width="12.453125" bestFit="1" customWidth="1"/>
    <col min="241" max="241" width="10.08984375" bestFit="1" customWidth="1"/>
    <col min="242" max="242" width="13.26953125" bestFit="1" customWidth="1"/>
    <col min="243" max="243" width="12.453125" bestFit="1" customWidth="1"/>
    <col min="244" max="244" width="10.08984375" bestFit="1" customWidth="1"/>
    <col min="245" max="245" width="13.26953125" bestFit="1" customWidth="1"/>
    <col min="246" max="246" width="12.453125" bestFit="1" customWidth="1"/>
    <col min="247" max="247" width="10.08984375" bestFit="1" customWidth="1"/>
    <col min="248" max="248" width="13.26953125" bestFit="1" customWidth="1"/>
    <col min="249" max="249" width="12.453125" bestFit="1" customWidth="1"/>
    <col min="250" max="250" width="10.08984375" bestFit="1" customWidth="1"/>
    <col min="251" max="251" width="13.26953125" bestFit="1" customWidth="1"/>
    <col min="252" max="252" width="12.453125" bestFit="1" customWidth="1"/>
    <col min="253" max="253" width="10.08984375" bestFit="1" customWidth="1"/>
    <col min="254" max="254" width="13.26953125" bestFit="1" customWidth="1"/>
    <col min="255" max="255" width="12.453125" bestFit="1" customWidth="1"/>
    <col min="256" max="256" width="10.08984375" bestFit="1" customWidth="1"/>
    <col min="257" max="257" width="13.26953125" bestFit="1" customWidth="1"/>
    <col min="258" max="258" width="12.453125" bestFit="1" customWidth="1"/>
    <col min="259" max="259" width="10.08984375" bestFit="1" customWidth="1"/>
    <col min="260" max="260" width="13.26953125" bestFit="1" customWidth="1"/>
    <col min="261" max="261" width="12.453125" bestFit="1" customWidth="1"/>
    <col min="262" max="262" width="10.08984375" bestFit="1" customWidth="1"/>
    <col min="263" max="263" width="13.26953125" bestFit="1" customWidth="1"/>
    <col min="264" max="264" width="12.453125" bestFit="1" customWidth="1"/>
    <col min="265" max="265" width="10.08984375" bestFit="1" customWidth="1"/>
    <col min="266" max="266" width="13.26953125" bestFit="1" customWidth="1"/>
    <col min="267" max="267" width="12.453125" bestFit="1" customWidth="1"/>
    <col min="268" max="268" width="10.08984375" bestFit="1" customWidth="1"/>
    <col min="269" max="269" width="13.26953125" bestFit="1" customWidth="1"/>
    <col min="270" max="270" width="12.453125" bestFit="1" customWidth="1"/>
    <col min="271" max="271" width="10.08984375" bestFit="1" customWidth="1"/>
    <col min="272" max="272" width="13.26953125" bestFit="1" customWidth="1"/>
    <col min="273" max="273" width="12.453125" bestFit="1" customWidth="1"/>
    <col min="274" max="274" width="10.08984375" bestFit="1" customWidth="1"/>
    <col min="275" max="275" width="13.26953125" bestFit="1" customWidth="1"/>
    <col min="276" max="276" width="12.453125" bestFit="1" customWidth="1"/>
    <col min="277" max="277" width="10.08984375" bestFit="1" customWidth="1"/>
    <col min="278" max="278" width="13.26953125" bestFit="1" customWidth="1"/>
    <col min="279" max="279" width="12.453125" bestFit="1" customWidth="1"/>
    <col min="280" max="280" width="10.08984375" bestFit="1" customWidth="1"/>
    <col min="281" max="281" width="13.26953125" bestFit="1" customWidth="1"/>
    <col min="282" max="282" width="12.453125" bestFit="1" customWidth="1"/>
    <col min="283" max="283" width="10.08984375" bestFit="1" customWidth="1"/>
    <col min="284" max="284" width="13.26953125" bestFit="1" customWidth="1"/>
    <col min="285" max="285" width="12.453125" bestFit="1" customWidth="1"/>
    <col min="286" max="286" width="10.08984375" bestFit="1" customWidth="1"/>
    <col min="287" max="287" width="13.26953125" bestFit="1" customWidth="1"/>
    <col min="288" max="288" width="12.453125" bestFit="1" customWidth="1"/>
    <col min="289" max="289" width="10.08984375" bestFit="1" customWidth="1"/>
    <col min="290" max="290" width="13.26953125" bestFit="1" customWidth="1"/>
    <col min="291" max="291" width="12.453125" bestFit="1" customWidth="1"/>
    <col min="292" max="292" width="10.08984375" bestFit="1" customWidth="1"/>
    <col min="293" max="293" width="13.26953125" bestFit="1" customWidth="1"/>
    <col min="294" max="294" width="12.453125" bestFit="1" customWidth="1"/>
    <col min="295" max="295" width="10.08984375" bestFit="1" customWidth="1"/>
    <col min="296" max="296" width="13.26953125" bestFit="1" customWidth="1"/>
    <col min="297" max="297" width="12.453125" bestFit="1" customWidth="1"/>
    <col min="298" max="298" width="10.08984375" bestFit="1" customWidth="1"/>
    <col min="299" max="299" width="13.26953125" bestFit="1" customWidth="1"/>
    <col min="300" max="300" width="12.453125" bestFit="1" customWidth="1"/>
    <col min="301" max="301" width="10.08984375" bestFit="1" customWidth="1"/>
    <col min="302" max="302" width="13.26953125" bestFit="1" customWidth="1"/>
    <col min="303" max="303" width="12.453125" bestFit="1" customWidth="1"/>
    <col min="304" max="304" width="10.08984375" bestFit="1" customWidth="1"/>
    <col min="305" max="305" width="13.26953125" bestFit="1" customWidth="1"/>
    <col min="306" max="306" width="12.453125" bestFit="1" customWidth="1"/>
    <col min="307" max="307" width="10.08984375" bestFit="1" customWidth="1"/>
    <col min="308" max="308" width="13.26953125" bestFit="1" customWidth="1"/>
    <col min="309" max="309" width="12.453125" bestFit="1" customWidth="1"/>
    <col min="310" max="310" width="10.08984375" bestFit="1" customWidth="1"/>
    <col min="311" max="311" width="13.26953125" bestFit="1" customWidth="1"/>
    <col min="312" max="312" width="12.453125" bestFit="1" customWidth="1"/>
    <col min="313" max="313" width="10.08984375" bestFit="1" customWidth="1"/>
    <col min="314" max="314" width="13.26953125" bestFit="1" customWidth="1"/>
    <col min="315" max="315" width="12.453125" bestFit="1" customWidth="1"/>
    <col min="316" max="316" width="10.08984375" bestFit="1" customWidth="1"/>
    <col min="317" max="317" width="13.26953125" bestFit="1" customWidth="1"/>
    <col min="318" max="318" width="12.453125" bestFit="1" customWidth="1"/>
    <col min="319" max="319" width="10.08984375" bestFit="1" customWidth="1"/>
    <col min="320" max="320" width="13.26953125" bestFit="1" customWidth="1"/>
    <col min="321" max="321" width="12.453125" bestFit="1" customWidth="1"/>
    <col min="322" max="322" width="10.08984375" bestFit="1" customWidth="1"/>
    <col min="323" max="323" width="13.26953125" bestFit="1" customWidth="1"/>
    <col min="324" max="324" width="12.453125" bestFit="1" customWidth="1"/>
    <col min="325" max="325" width="10.08984375" bestFit="1" customWidth="1"/>
    <col min="326" max="326" width="13.26953125" bestFit="1" customWidth="1"/>
    <col min="327" max="327" width="12.453125" bestFit="1" customWidth="1"/>
    <col min="328" max="328" width="10.08984375" bestFit="1" customWidth="1"/>
    <col min="329" max="329" width="13.26953125" bestFit="1" customWidth="1"/>
    <col min="330" max="330" width="12.453125" bestFit="1" customWidth="1"/>
    <col min="331" max="331" width="10.08984375" bestFit="1" customWidth="1"/>
    <col min="332" max="332" width="13.26953125" bestFit="1" customWidth="1"/>
    <col min="333" max="333" width="12.453125" bestFit="1" customWidth="1"/>
    <col min="334" max="334" width="10.08984375" bestFit="1" customWidth="1"/>
    <col min="335" max="335" width="13.26953125" bestFit="1" customWidth="1"/>
    <col min="336" max="336" width="12.453125" bestFit="1" customWidth="1"/>
    <col min="337" max="337" width="10.08984375" bestFit="1" customWidth="1"/>
    <col min="338" max="338" width="13.26953125" bestFit="1" customWidth="1"/>
    <col min="339" max="339" width="12.453125" bestFit="1" customWidth="1"/>
    <col min="340" max="340" width="10.08984375" bestFit="1" customWidth="1"/>
    <col min="341" max="341" width="13.26953125" bestFit="1" customWidth="1"/>
    <col min="342" max="342" width="12.453125" bestFit="1" customWidth="1"/>
    <col min="343" max="343" width="10.08984375" bestFit="1" customWidth="1"/>
    <col min="344" max="344" width="13.26953125" bestFit="1" customWidth="1"/>
    <col min="345" max="345" width="12.453125" bestFit="1" customWidth="1"/>
    <col min="346" max="346" width="10.08984375" bestFit="1" customWidth="1"/>
    <col min="347" max="347" width="13.26953125" bestFit="1" customWidth="1"/>
    <col min="348" max="348" width="12.453125" bestFit="1" customWidth="1"/>
    <col min="349" max="349" width="10.08984375" bestFit="1" customWidth="1"/>
    <col min="350" max="350" width="13.26953125" bestFit="1" customWidth="1"/>
    <col min="351" max="351" width="12.453125" bestFit="1" customWidth="1"/>
    <col min="352" max="352" width="10.08984375" bestFit="1" customWidth="1"/>
    <col min="353" max="353" width="13.26953125" bestFit="1" customWidth="1"/>
    <col min="354" max="354" width="12.453125" bestFit="1" customWidth="1"/>
    <col min="355" max="355" width="10.08984375" bestFit="1" customWidth="1"/>
    <col min="356" max="356" width="13.26953125" bestFit="1" customWidth="1"/>
    <col min="357" max="357" width="12.453125" bestFit="1" customWidth="1"/>
    <col min="358" max="358" width="10.08984375" bestFit="1" customWidth="1"/>
    <col min="359" max="359" width="13.26953125" bestFit="1" customWidth="1"/>
    <col min="360" max="360" width="12.453125" bestFit="1" customWidth="1"/>
    <col min="361" max="361" width="10.08984375" bestFit="1" customWidth="1"/>
    <col min="362" max="362" width="13.26953125" bestFit="1" customWidth="1"/>
    <col min="363" max="363" width="12.453125" bestFit="1" customWidth="1"/>
    <col min="364" max="364" width="10.08984375" bestFit="1" customWidth="1"/>
    <col min="365" max="365" width="13.26953125" bestFit="1" customWidth="1"/>
    <col min="366" max="366" width="12.453125" bestFit="1" customWidth="1"/>
    <col min="367" max="367" width="10.08984375" bestFit="1" customWidth="1"/>
    <col min="368" max="368" width="13.26953125" bestFit="1" customWidth="1"/>
    <col min="369" max="369" width="12.453125" bestFit="1" customWidth="1"/>
    <col min="370" max="370" width="10.08984375" bestFit="1" customWidth="1"/>
    <col min="371" max="371" width="13.26953125" bestFit="1" customWidth="1"/>
    <col min="372" max="372" width="12.453125" bestFit="1" customWidth="1"/>
    <col min="373" max="373" width="10.08984375" bestFit="1" customWidth="1"/>
    <col min="374" max="374" width="13.26953125" bestFit="1" customWidth="1"/>
    <col min="375" max="375" width="12.453125" bestFit="1" customWidth="1"/>
    <col min="376" max="376" width="10.08984375" bestFit="1" customWidth="1"/>
    <col min="377" max="377" width="13.26953125" bestFit="1" customWidth="1"/>
    <col min="378" max="378" width="12.453125" bestFit="1" customWidth="1"/>
    <col min="379" max="379" width="10.08984375" bestFit="1" customWidth="1"/>
    <col min="380" max="380" width="13.26953125" bestFit="1" customWidth="1"/>
    <col min="381" max="381" width="12.453125" bestFit="1" customWidth="1"/>
    <col min="382" max="382" width="10.08984375" bestFit="1" customWidth="1"/>
    <col min="383" max="383" width="13.26953125" bestFit="1" customWidth="1"/>
    <col min="384" max="384" width="12.453125" bestFit="1" customWidth="1"/>
    <col min="385" max="385" width="10.08984375" bestFit="1" customWidth="1"/>
    <col min="386" max="386" width="13.26953125" bestFit="1" customWidth="1"/>
    <col min="387" max="387" width="12.453125" bestFit="1" customWidth="1"/>
    <col min="388" max="388" width="10.08984375" bestFit="1" customWidth="1"/>
    <col min="389" max="389" width="13.26953125" bestFit="1" customWidth="1"/>
    <col min="390" max="390" width="12.453125" bestFit="1" customWidth="1"/>
    <col min="391" max="391" width="10.08984375" bestFit="1" customWidth="1"/>
    <col min="392" max="392" width="13.26953125" bestFit="1" customWidth="1"/>
    <col min="393" max="393" width="12.453125" bestFit="1" customWidth="1"/>
    <col min="394" max="394" width="10.08984375" bestFit="1" customWidth="1"/>
    <col min="395" max="395" width="13.26953125" bestFit="1" customWidth="1"/>
    <col min="396" max="396" width="12.453125" bestFit="1" customWidth="1"/>
    <col min="397" max="397" width="10.08984375" bestFit="1" customWidth="1"/>
    <col min="398" max="398" width="13.26953125" bestFit="1" customWidth="1"/>
    <col min="399" max="399" width="12.453125" bestFit="1" customWidth="1"/>
    <col min="400" max="400" width="10.08984375" bestFit="1" customWidth="1"/>
    <col min="401" max="401" width="13.26953125" bestFit="1" customWidth="1"/>
    <col min="402" max="402" width="12.453125" bestFit="1" customWidth="1"/>
    <col min="403" max="403" width="10.08984375" bestFit="1" customWidth="1"/>
    <col min="404" max="404" width="13.26953125" bestFit="1" customWidth="1"/>
    <col min="405" max="405" width="12.453125" bestFit="1" customWidth="1"/>
    <col min="406" max="406" width="10.08984375" bestFit="1" customWidth="1"/>
    <col min="407" max="407" width="13.26953125" bestFit="1" customWidth="1"/>
    <col min="408" max="408" width="12.453125" bestFit="1" customWidth="1"/>
    <col min="409" max="409" width="10.08984375" bestFit="1" customWidth="1"/>
    <col min="410" max="410" width="13.26953125" bestFit="1" customWidth="1"/>
    <col min="411" max="411" width="12.453125" bestFit="1" customWidth="1"/>
    <col min="412" max="412" width="10.08984375" bestFit="1" customWidth="1"/>
    <col min="413" max="413" width="13.26953125" bestFit="1" customWidth="1"/>
    <col min="414" max="414" width="12.453125" bestFit="1" customWidth="1"/>
    <col min="415" max="415" width="10.08984375" bestFit="1" customWidth="1"/>
    <col min="416" max="416" width="13.26953125" bestFit="1" customWidth="1"/>
    <col min="417" max="417" width="12.453125" bestFit="1" customWidth="1"/>
    <col min="418" max="418" width="10.08984375" bestFit="1" customWidth="1"/>
    <col min="419" max="419" width="13.26953125" bestFit="1" customWidth="1"/>
    <col min="420" max="420" width="12.453125" bestFit="1" customWidth="1"/>
    <col min="421" max="421" width="10.08984375" bestFit="1" customWidth="1"/>
    <col min="422" max="422" width="13.26953125" bestFit="1" customWidth="1"/>
    <col min="423" max="423" width="12.453125" bestFit="1" customWidth="1"/>
    <col min="424" max="424" width="10.08984375" bestFit="1" customWidth="1"/>
    <col min="425" max="425" width="13.26953125" bestFit="1" customWidth="1"/>
    <col min="426" max="426" width="12.453125" bestFit="1" customWidth="1"/>
    <col min="427" max="427" width="10.08984375" bestFit="1" customWidth="1"/>
    <col min="428" max="428" width="13.26953125" bestFit="1" customWidth="1"/>
    <col min="429" max="429" width="12.453125" bestFit="1" customWidth="1"/>
    <col min="430" max="430" width="10.08984375" bestFit="1" customWidth="1"/>
    <col min="431" max="431" width="13.26953125" bestFit="1" customWidth="1"/>
    <col min="432" max="432" width="12.453125" bestFit="1" customWidth="1"/>
    <col min="433" max="433" width="10.08984375" bestFit="1" customWidth="1"/>
    <col min="434" max="434" width="13.26953125" bestFit="1" customWidth="1"/>
    <col min="435" max="435" width="12.453125" bestFit="1" customWidth="1"/>
    <col min="436" max="436" width="10.08984375" bestFit="1" customWidth="1"/>
    <col min="437" max="437" width="13.26953125" bestFit="1" customWidth="1"/>
    <col min="438" max="438" width="12.453125" bestFit="1" customWidth="1"/>
    <col min="439" max="439" width="10.08984375" bestFit="1" customWidth="1"/>
    <col min="440" max="440" width="13.26953125" bestFit="1" customWidth="1"/>
    <col min="441" max="441" width="12.453125" bestFit="1" customWidth="1"/>
    <col min="442" max="442" width="10.08984375" bestFit="1" customWidth="1"/>
    <col min="443" max="443" width="13.26953125" bestFit="1" customWidth="1"/>
    <col min="444" max="444" width="12.453125" bestFit="1" customWidth="1"/>
    <col min="445" max="445" width="10.08984375" bestFit="1" customWidth="1"/>
    <col min="446" max="446" width="13.26953125" bestFit="1" customWidth="1"/>
    <col min="447" max="447" width="12.453125" bestFit="1" customWidth="1"/>
    <col min="448" max="448" width="10.08984375" bestFit="1" customWidth="1"/>
    <col min="449" max="449" width="13.26953125" bestFit="1" customWidth="1"/>
    <col min="450" max="450" width="12.453125" bestFit="1" customWidth="1"/>
    <col min="451" max="451" width="10.08984375" bestFit="1" customWidth="1"/>
    <col min="452" max="452" width="13.26953125" bestFit="1" customWidth="1"/>
    <col min="453" max="453" width="12.453125" bestFit="1" customWidth="1"/>
    <col min="454" max="454" width="10.08984375" bestFit="1" customWidth="1"/>
    <col min="455" max="455" width="13.26953125" bestFit="1" customWidth="1"/>
    <col min="456" max="456" width="12.453125" bestFit="1" customWidth="1"/>
    <col min="457" max="457" width="10.08984375" bestFit="1" customWidth="1"/>
    <col min="458" max="458" width="13.26953125" bestFit="1" customWidth="1"/>
    <col min="459" max="459" width="12.453125" bestFit="1" customWidth="1"/>
    <col min="460" max="460" width="10.08984375" bestFit="1" customWidth="1"/>
    <col min="461" max="461" width="13.26953125" bestFit="1" customWidth="1"/>
    <col min="462" max="462" width="12.453125" bestFit="1" customWidth="1"/>
    <col min="463" max="463" width="10.08984375" bestFit="1" customWidth="1"/>
    <col min="464" max="464" width="13.26953125" bestFit="1" customWidth="1"/>
    <col min="465" max="465" width="12.453125" bestFit="1" customWidth="1"/>
    <col min="466" max="466" width="10.08984375" bestFit="1" customWidth="1"/>
    <col min="467" max="467" width="13.26953125" bestFit="1" customWidth="1"/>
    <col min="468" max="468" width="12.453125" bestFit="1" customWidth="1"/>
    <col min="469" max="469" width="10.08984375" bestFit="1" customWidth="1"/>
    <col min="470" max="470" width="13.26953125" bestFit="1" customWidth="1"/>
    <col min="471" max="471" width="12.453125" bestFit="1" customWidth="1"/>
    <col min="472" max="472" width="10.08984375" bestFit="1" customWidth="1"/>
    <col min="473" max="473" width="13.26953125" bestFit="1" customWidth="1"/>
    <col min="474" max="474" width="12.453125" bestFit="1" customWidth="1"/>
    <col min="475" max="475" width="10.08984375" bestFit="1" customWidth="1"/>
    <col min="476" max="476" width="13.26953125" bestFit="1" customWidth="1"/>
    <col min="477" max="477" width="12.453125" bestFit="1" customWidth="1"/>
    <col min="478" max="478" width="10.08984375" bestFit="1" customWidth="1"/>
    <col min="479" max="479" width="13.26953125" bestFit="1" customWidth="1"/>
    <col min="480" max="480" width="12.453125" bestFit="1" customWidth="1"/>
    <col min="481" max="481" width="10.08984375" bestFit="1" customWidth="1"/>
    <col min="482" max="482" width="13.26953125" bestFit="1" customWidth="1"/>
    <col min="483" max="483" width="12.453125" bestFit="1" customWidth="1"/>
    <col min="484" max="484" width="10.08984375" bestFit="1" customWidth="1"/>
    <col min="485" max="485" width="13.26953125" bestFit="1" customWidth="1"/>
    <col min="486" max="486" width="12.453125" bestFit="1" customWidth="1"/>
    <col min="487" max="487" width="10.08984375" bestFit="1" customWidth="1"/>
    <col min="488" max="488" width="13.26953125" bestFit="1" customWidth="1"/>
    <col min="489" max="489" width="12.453125" bestFit="1" customWidth="1"/>
    <col min="490" max="490" width="10.08984375" bestFit="1" customWidth="1"/>
    <col min="491" max="491" width="13.26953125" bestFit="1" customWidth="1"/>
    <col min="492" max="492" width="12.453125" bestFit="1" customWidth="1"/>
    <col min="493" max="493" width="10.08984375" bestFit="1" customWidth="1"/>
    <col min="494" max="494" width="13.26953125" bestFit="1" customWidth="1"/>
    <col min="495" max="495" width="12.453125" bestFit="1" customWidth="1"/>
    <col min="496" max="496" width="10.08984375" bestFit="1" customWidth="1"/>
    <col min="497" max="497" width="13.26953125" bestFit="1" customWidth="1"/>
    <col min="498" max="498" width="12.453125" bestFit="1" customWidth="1"/>
    <col min="499" max="499" width="10.08984375" bestFit="1" customWidth="1"/>
    <col min="500" max="500" width="13.26953125" bestFit="1" customWidth="1"/>
    <col min="501" max="501" width="12.453125" bestFit="1" customWidth="1"/>
    <col min="502" max="502" width="10.08984375" bestFit="1" customWidth="1"/>
    <col min="503" max="503" width="13.26953125" bestFit="1" customWidth="1"/>
    <col min="504" max="504" width="12.453125" bestFit="1" customWidth="1"/>
    <col min="505" max="505" width="10.08984375" bestFit="1" customWidth="1"/>
    <col min="506" max="506" width="13.26953125" bestFit="1" customWidth="1"/>
    <col min="507" max="507" width="12.453125" bestFit="1" customWidth="1"/>
    <col min="508" max="508" width="10.08984375" bestFit="1" customWidth="1"/>
    <col min="509" max="509" width="13.26953125" bestFit="1" customWidth="1"/>
    <col min="510" max="510" width="12.453125" bestFit="1" customWidth="1"/>
    <col min="511" max="511" width="10.08984375" bestFit="1" customWidth="1"/>
    <col min="512" max="512" width="13.26953125" bestFit="1" customWidth="1"/>
    <col min="513" max="513" width="12.453125" bestFit="1" customWidth="1"/>
    <col min="514" max="514" width="10.08984375" bestFit="1" customWidth="1"/>
    <col min="515" max="515" width="13.26953125" bestFit="1" customWidth="1"/>
    <col min="516" max="516" width="12.453125" bestFit="1" customWidth="1"/>
    <col min="517" max="517" width="10.08984375" bestFit="1" customWidth="1"/>
    <col min="518" max="518" width="13.26953125" bestFit="1" customWidth="1"/>
    <col min="519" max="519" width="12.453125" bestFit="1" customWidth="1"/>
    <col min="520" max="520" width="10.08984375" bestFit="1" customWidth="1"/>
    <col min="521" max="521" width="13.26953125" bestFit="1" customWidth="1"/>
    <col min="522" max="522" width="12.453125" bestFit="1" customWidth="1"/>
    <col min="523" max="523" width="10.08984375" bestFit="1" customWidth="1"/>
    <col min="524" max="524" width="13.26953125" bestFit="1" customWidth="1"/>
    <col min="525" max="525" width="12.453125" bestFit="1" customWidth="1"/>
    <col min="526" max="526" width="10.08984375" bestFit="1" customWidth="1"/>
    <col min="527" max="527" width="13.26953125" bestFit="1" customWidth="1"/>
    <col min="528" max="528" width="12.453125" bestFit="1" customWidth="1"/>
    <col min="529" max="529" width="10.08984375" bestFit="1" customWidth="1"/>
    <col min="530" max="530" width="13.26953125" bestFit="1" customWidth="1"/>
    <col min="531" max="531" width="12.453125" bestFit="1" customWidth="1"/>
    <col min="532" max="532" width="10.08984375" bestFit="1" customWidth="1"/>
    <col min="533" max="533" width="13.26953125" bestFit="1" customWidth="1"/>
    <col min="534" max="534" width="12.453125" bestFit="1" customWidth="1"/>
    <col min="535" max="535" width="10.08984375" bestFit="1" customWidth="1"/>
    <col min="536" max="536" width="13.26953125" bestFit="1" customWidth="1"/>
    <col min="537" max="537" width="12.453125" bestFit="1" customWidth="1"/>
    <col min="538" max="538" width="10.08984375" bestFit="1" customWidth="1"/>
    <col min="539" max="539" width="13.26953125" bestFit="1" customWidth="1"/>
    <col min="540" max="540" width="12.453125" bestFit="1" customWidth="1"/>
    <col min="541" max="541" width="10.08984375" bestFit="1" customWidth="1"/>
    <col min="542" max="542" width="13.26953125" bestFit="1" customWidth="1"/>
    <col min="543" max="543" width="12.453125" bestFit="1" customWidth="1"/>
    <col min="544" max="544" width="10.08984375" bestFit="1" customWidth="1"/>
    <col min="545" max="545" width="13.26953125" bestFit="1" customWidth="1"/>
    <col min="546" max="546" width="12.453125" bestFit="1" customWidth="1"/>
    <col min="547" max="547" width="10.08984375" bestFit="1" customWidth="1"/>
    <col min="548" max="548" width="13.26953125" bestFit="1" customWidth="1"/>
    <col min="549" max="549" width="12.453125" bestFit="1" customWidth="1"/>
    <col min="550" max="550" width="10.08984375" bestFit="1" customWidth="1"/>
    <col min="551" max="551" width="13.26953125" bestFit="1" customWidth="1"/>
    <col min="552" max="552" width="12.453125" bestFit="1" customWidth="1"/>
    <col min="553" max="553" width="10.08984375" bestFit="1" customWidth="1"/>
    <col min="554" max="554" width="13.26953125" bestFit="1" customWidth="1"/>
    <col min="555" max="555" width="12.453125" bestFit="1" customWidth="1"/>
    <col min="556" max="556" width="10.08984375" bestFit="1" customWidth="1"/>
    <col min="557" max="557" width="13.26953125" bestFit="1" customWidth="1"/>
    <col min="558" max="558" width="12.453125" bestFit="1" customWidth="1"/>
    <col min="559" max="559" width="10.08984375" bestFit="1" customWidth="1"/>
    <col min="560" max="560" width="13.26953125" bestFit="1" customWidth="1"/>
    <col min="561" max="561" width="12.453125" bestFit="1" customWidth="1"/>
    <col min="562" max="562" width="10.08984375" bestFit="1" customWidth="1"/>
    <col min="563" max="563" width="13.26953125" bestFit="1" customWidth="1"/>
    <col min="564" max="564" width="12.453125" bestFit="1" customWidth="1"/>
    <col min="565" max="565" width="10.08984375" bestFit="1" customWidth="1"/>
    <col min="566" max="566" width="13.26953125" bestFit="1" customWidth="1"/>
    <col min="567" max="567" width="12.453125" bestFit="1" customWidth="1"/>
    <col min="568" max="568" width="10.08984375" bestFit="1" customWidth="1"/>
    <col min="569" max="569" width="13.26953125" bestFit="1" customWidth="1"/>
    <col min="570" max="570" width="12.453125" bestFit="1" customWidth="1"/>
    <col min="571" max="571" width="10.08984375" bestFit="1" customWidth="1"/>
    <col min="572" max="572" width="13.26953125" bestFit="1" customWidth="1"/>
    <col min="573" max="573" width="12.453125" bestFit="1" customWidth="1"/>
    <col min="574" max="574" width="10.08984375" bestFit="1" customWidth="1"/>
    <col min="575" max="575" width="13.26953125" bestFit="1" customWidth="1"/>
    <col min="576" max="576" width="12.453125" bestFit="1" customWidth="1"/>
    <col min="577" max="577" width="10.08984375" bestFit="1" customWidth="1"/>
    <col min="578" max="578" width="13.26953125" bestFit="1" customWidth="1"/>
    <col min="579" max="579" width="12.453125" bestFit="1" customWidth="1"/>
    <col min="580" max="580" width="10.08984375" bestFit="1" customWidth="1"/>
    <col min="581" max="581" width="13.26953125" bestFit="1" customWidth="1"/>
    <col min="582" max="582" width="12.453125" bestFit="1" customWidth="1"/>
    <col min="583" max="583" width="10.08984375" bestFit="1" customWidth="1"/>
    <col min="584" max="584" width="13.26953125" bestFit="1" customWidth="1"/>
    <col min="585" max="585" width="12.453125" bestFit="1" customWidth="1"/>
    <col min="586" max="586" width="10.08984375" bestFit="1" customWidth="1"/>
    <col min="587" max="587" width="13.26953125" bestFit="1" customWidth="1"/>
    <col min="588" max="588" width="12.453125" bestFit="1" customWidth="1"/>
    <col min="589" max="589" width="10.08984375" bestFit="1" customWidth="1"/>
    <col min="590" max="590" width="13.26953125" bestFit="1" customWidth="1"/>
    <col min="591" max="591" width="12.453125" bestFit="1" customWidth="1"/>
    <col min="592" max="592" width="10.08984375" bestFit="1" customWidth="1"/>
    <col min="593" max="593" width="13.26953125" bestFit="1" customWidth="1"/>
    <col min="594" max="594" width="12.453125" bestFit="1" customWidth="1"/>
    <col min="595" max="595" width="10.08984375" bestFit="1" customWidth="1"/>
    <col min="596" max="596" width="13.26953125" bestFit="1" customWidth="1"/>
    <col min="597" max="597" width="12.453125" bestFit="1" customWidth="1"/>
    <col min="598" max="598" width="10.08984375" bestFit="1" customWidth="1"/>
    <col min="599" max="599" width="13.26953125" bestFit="1" customWidth="1"/>
    <col min="600" max="600" width="12.453125" bestFit="1" customWidth="1"/>
    <col min="601" max="601" width="10.08984375" bestFit="1" customWidth="1"/>
    <col min="602" max="602" width="13.26953125" bestFit="1" customWidth="1"/>
    <col min="603" max="603" width="12.453125" bestFit="1" customWidth="1"/>
    <col min="604" max="604" width="10.08984375" bestFit="1" customWidth="1"/>
    <col min="605" max="605" width="13.26953125" bestFit="1" customWidth="1"/>
    <col min="606" max="606" width="12.453125" bestFit="1" customWidth="1"/>
    <col min="607" max="607" width="10.08984375" bestFit="1" customWidth="1"/>
    <col min="608" max="608" width="13.26953125" bestFit="1" customWidth="1"/>
    <col min="609" max="609" width="12.453125" bestFit="1" customWidth="1"/>
    <col min="610" max="610" width="10.08984375" bestFit="1" customWidth="1"/>
    <col min="611" max="611" width="13.26953125" bestFit="1" customWidth="1"/>
    <col min="612" max="612" width="12.453125" bestFit="1" customWidth="1"/>
    <col min="613" max="613" width="10.08984375" bestFit="1" customWidth="1"/>
    <col min="614" max="614" width="13.26953125" bestFit="1" customWidth="1"/>
    <col min="615" max="615" width="12.453125" bestFit="1" customWidth="1"/>
    <col min="616" max="616" width="10.08984375" bestFit="1" customWidth="1"/>
    <col min="617" max="617" width="13.26953125" bestFit="1" customWidth="1"/>
    <col min="618" max="618" width="12.453125" bestFit="1" customWidth="1"/>
    <col min="619" max="619" width="10.08984375" bestFit="1" customWidth="1"/>
    <col min="620" max="620" width="13.26953125" bestFit="1" customWidth="1"/>
    <col min="621" max="621" width="12.453125" bestFit="1" customWidth="1"/>
    <col min="622" max="622" width="10.08984375" bestFit="1" customWidth="1"/>
    <col min="623" max="623" width="13.26953125" bestFit="1" customWidth="1"/>
    <col min="624" max="624" width="12.453125" bestFit="1" customWidth="1"/>
    <col min="625" max="625" width="10.08984375" bestFit="1" customWidth="1"/>
    <col min="626" max="626" width="13.26953125" bestFit="1" customWidth="1"/>
    <col min="627" max="627" width="12.453125" bestFit="1" customWidth="1"/>
    <col min="628" max="628" width="10.08984375" bestFit="1" customWidth="1"/>
    <col min="629" max="629" width="13.26953125" bestFit="1" customWidth="1"/>
    <col min="630" max="630" width="12.453125" bestFit="1" customWidth="1"/>
    <col min="631" max="631" width="10.08984375" bestFit="1" customWidth="1"/>
    <col min="632" max="632" width="13.26953125" bestFit="1" customWidth="1"/>
    <col min="633" max="633" width="12.453125" bestFit="1" customWidth="1"/>
    <col min="634" max="634" width="10.08984375" bestFit="1" customWidth="1"/>
    <col min="635" max="635" width="13.26953125" bestFit="1" customWidth="1"/>
    <col min="636" max="636" width="12.45312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90B33-CC41-47AE-BFA1-452CEA739094}">
  <sheetPr codeName="Sheet3"/>
  <dimension ref="XE1:XI251"/>
  <sheetViews>
    <sheetView workbookViewId="0"/>
  </sheetViews>
  <sheetFormatPr defaultRowHeight="14.5" x14ac:dyDescent="0.35"/>
  <cols>
    <col min="1" max="1" width="8.81640625" bestFit="1" customWidth="1"/>
    <col min="2" max="2" width="11.6328125" bestFit="1" customWidth="1"/>
    <col min="631" max="631" width="8.81640625" bestFit="1" customWidth="1"/>
    <col min="632" max="632" width="11.6328125" bestFit="1" customWidth="1"/>
    <col min="634" max="634" width="8.81640625" bestFit="1" customWidth="1"/>
    <col min="635" max="635" width="11.6328125" bestFit="1" customWidth="1"/>
  </cols>
  <sheetData>
    <row r="1" spans="629:633" x14ac:dyDescent="0.35">
      <c r="XE1" t="s">
        <v>0</v>
      </c>
      <c r="XF1" t="s">
        <v>256</v>
      </c>
      <c r="XH1" t="s">
        <v>0</v>
      </c>
      <c r="XI1" t="s">
        <v>256</v>
      </c>
    </row>
    <row r="2" spans="629:633" x14ac:dyDescent="0.35">
      <c r="XE2" t="s">
        <v>188</v>
      </c>
      <c r="XF2">
        <v>35.799999999999997</v>
      </c>
      <c r="XH2" t="s">
        <v>89</v>
      </c>
      <c r="XI2">
        <v>5.1100000000000003</v>
      </c>
    </row>
    <row r="3" spans="629:633" x14ac:dyDescent="0.35">
      <c r="XE3" t="s">
        <v>89</v>
      </c>
      <c r="XF3">
        <v>5.1100000000000003</v>
      </c>
      <c r="XH3" t="s">
        <v>188</v>
      </c>
      <c r="XI3">
        <v>35.799999999999997</v>
      </c>
    </row>
    <row r="4" spans="629:633" x14ac:dyDescent="0.35">
      <c r="XE4" t="s">
        <v>129</v>
      </c>
      <c r="XF4">
        <v>25.18</v>
      </c>
      <c r="XH4" t="s">
        <v>129</v>
      </c>
      <c r="XI4">
        <v>25.18</v>
      </c>
    </row>
    <row r="5" spans="629:633" x14ac:dyDescent="0.35">
      <c r="XE5" t="s">
        <v>76</v>
      </c>
      <c r="XF5">
        <v>92</v>
      </c>
      <c r="XH5" t="s">
        <v>76</v>
      </c>
      <c r="XI5">
        <v>92</v>
      </c>
    </row>
    <row r="6" spans="629:633" x14ac:dyDescent="0.35">
      <c r="XE6" t="s">
        <v>67</v>
      </c>
      <c r="XF6">
        <v>67.87</v>
      </c>
      <c r="XH6" t="s">
        <v>156</v>
      </c>
      <c r="XI6">
        <v>113.3</v>
      </c>
    </row>
    <row r="7" spans="629:633" x14ac:dyDescent="0.35">
      <c r="XE7" t="s">
        <v>49</v>
      </c>
      <c r="XF7">
        <v>896.2</v>
      </c>
      <c r="XH7" t="s">
        <v>49</v>
      </c>
      <c r="XI7">
        <v>896.2</v>
      </c>
    </row>
    <row r="8" spans="629:633" x14ac:dyDescent="0.35">
      <c r="XE8" t="s">
        <v>87</v>
      </c>
      <c r="XF8">
        <v>33.409999999999997</v>
      </c>
      <c r="XH8" t="s">
        <v>67</v>
      </c>
      <c r="XI8">
        <v>67.87</v>
      </c>
    </row>
    <row r="9" spans="629:633" x14ac:dyDescent="0.35">
      <c r="XE9" t="s">
        <v>184</v>
      </c>
      <c r="XF9">
        <v>76.63</v>
      </c>
      <c r="XH9" t="s">
        <v>184</v>
      </c>
      <c r="XI9">
        <v>76.63</v>
      </c>
    </row>
    <row r="10" spans="629:633" x14ac:dyDescent="0.35">
      <c r="XE10" t="s">
        <v>143</v>
      </c>
      <c r="XF10">
        <v>46.35</v>
      </c>
      <c r="XH10" t="s">
        <v>128</v>
      </c>
      <c r="XI10">
        <v>12.3</v>
      </c>
    </row>
    <row r="11" spans="629:633" x14ac:dyDescent="0.35">
      <c r="XE11" t="s">
        <v>172</v>
      </c>
      <c r="XF11">
        <v>200.28</v>
      </c>
      <c r="XH11" t="s">
        <v>172</v>
      </c>
      <c r="XI11">
        <v>200.28</v>
      </c>
    </row>
    <row r="12" spans="629:633" x14ac:dyDescent="0.35">
      <c r="XE12" t="s">
        <v>38</v>
      </c>
      <c r="XF12">
        <v>32.96</v>
      </c>
      <c r="XH12" t="s">
        <v>38</v>
      </c>
      <c r="XI12">
        <v>32.96</v>
      </c>
    </row>
    <row r="13" spans="629:633" x14ac:dyDescent="0.35">
      <c r="XE13" t="s">
        <v>128</v>
      </c>
      <c r="XF13">
        <v>12.3</v>
      </c>
      <c r="XH13" t="s">
        <v>143</v>
      </c>
      <c r="XI13">
        <v>46.35</v>
      </c>
    </row>
    <row r="14" spans="629:633" x14ac:dyDescent="0.35">
      <c r="XE14" t="s">
        <v>41</v>
      </c>
      <c r="XF14">
        <v>14.62</v>
      </c>
      <c r="XH14" t="s">
        <v>3</v>
      </c>
      <c r="XI14">
        <v>17.899999999999999</v>
      </c>
    </row>
    <row r="15" spans="629:633" x14ac:dyDescent="0.35">
      <c r="XE15" t="s">
        <v>3</v>
      </c>
      <c r="XF15">
        <v>17.899999999999999</v>
      </c>
      <c r="XH15" t="s">
        <v>108</v>
      </c>
      <c r="XI15">
        <v>18.8</v>
      </c>
    </row>
    <row r="16" spans="629:633" x14ac:dyDescent="0.35">
      <c r="XE16" t="s">
        <v>161</v>
      </c>
      <c r="XF16">
        <v>41.47</v>
      </c>
      <c r="XH16" t="s">
        <v>37</v>
      </c>
      <c r="XI16">
        <v>30.65</v>
      </c>
    </row>
    <row r="17" spans="629:633" x14ac:dyDescent="0.35">
      <c r="XE17" t="s">
        <v>37</v>
      </c>
      <c r="XF17">
        <v>30.65</v>
      </c>
      <c r="XH17" t="s">
        <v>148</v>
      </c>
      <c r="XI17">
        <v>30.09</v>
      </c>
    </row>
    <row r="18" spans="629:633" x14ac:dyDescent="0.35">
      <c r="XE18" t="s">
        <v>156</v>
      </c>
      <c r="XF18">
        <v>113.3</v>
      </c>
      <c r="XH18" t="s">
        <v>161</v>
      </c>
      <c r="XI18">
        <v>41.47</v>
      </c>
    </row>
    <row r="19" spans="629:633" x14ac:dyDescent="0.35">
      <c r="XE19" t="s">
        <v>148</v>
      </c>
      <c r="XF19">
        <v>30.09</v>
      </c>
      <c r="XH19" t="s">
        <v>47</v>
      </c>
      <c r="XI19">
        <v>88.83</v>
      </c>
    </row>
    <row r="20" spans="629:633" x14ac:dyDescent="0.35">
      <c r="XE20" t="s">
        <v>107</v>
      </c>
      <c r="XF20">
        <v>86.28</v>
      </c>
      <c r="XH20" t="s">
        <v>7</v>
      </c>
      <c r="XI20">
        <v>29</v>
      </c>
    </row>
    <row r="21" spans="629:633" x14ac:dyDescent="0.35">
      <c r="XE21" t="s">
        <v>118</v>
      </c>
      <c r="XF21">
        <v>8.68</v>
      </c>
      <c r="XH21" t="s">
        <v>107</v>
      </c>
      <c r="XI21">
        <v>86.28</v>
      </c>
    </row>
    <row r="22" spans="629:633" x14ac:dyDescent="0.35">
      <c r="XE22" t="s">
        <v>47</v>
      </c>
      <c r="XF22">
        <v>88.83</v>
      </c>
      <c r="XH22" t="s">
        <v>136</v>
      </c>
      <c r="XI22">
        <v>48.15</v>
      </c>
    </row>
    <row r="23" spans="629:633" x14ac:dyDescent="0.35">
      <c r="XE23" t="s">
        <v>136</v>
      </c>
      <c r="XF23">
        <v>48.15</v>
      </c>
      <c r="XH23" t="s">
        <v>66</v>
      </c>
      <c r="XI23">
        <v>14.4</v>
      </c>
    </row>
    <row r="24" spans="629:633" x14ac:dyDescent="0.35">
      <c r="XE24" t="s">
        <v>75</v>
      </c>
      <c r="XF24">
        <v>18</v>
      </c>
      <c r="XH24" t="s">
        <v>138</v>
      </c>
      <c r="XI24">
        <v>5.76</v>
      </c>
    </row>
    <row r="25" spans="629:633" x14ac:dyDescent="0.35">
      <c r="XE25" t="s">
        <v>66</v>
      </c>
      <c r="XF25">
        <v>14.4</v>
      </c>
      <c r="XH25" t="s">
        <v>30</v>
      </c>
      <c r="XI25">
        <v>46.7</v>
      </c>
    </row>
    <row r="26" spans="629:633" x14ac:dyDescent="0.35">
      <c r="XE26" t="s">
        <v>132</v>
      </c>
      <c r="XF26">
        <v>3.04</v>
      </c>
      <c r="XH26" t="s">
        <v>41</v>
      </c>
      <c r="XI26">
        <v>14.62</v>
      </c>
    </row>
    <row r="27" spans="629:633" x14ac:dyDescent="0.35">
      <c r="XE27" t="s">
        <v>108</v>
      </c>
      <c r="XF27">
        <v>18.8</v>
      </c>
      <c r="XH27" t="s">
        <v>132</v>
      </c>
      <c r="XI27">
        <v>3.04</v>
      </c>
    </row>
    <row r="28" spans="629:633" x14ac:dyDescent="0.35">
      <c r="XE28" t="s">
        <v>207</v>
      </c>
      <c r="XF28">
        <v>2.67</v>
      </c>
      <c r="XH28" t="s">
        <v>118</v>
      </c>
      <c r="XI28">
        <v>8.68</v>
      </c>
    </row>
    <row r="29" spans="629:633" x14ac:dyDescent="0.35">
      <c r="XE29" t="s">
        <v>30</v>
      </c>
      <c r="XF29">
        <v>46.7</v>
      </c>
      <c r="XH29" t="s">
        <v>142</v>
      </c>
      <c r="XI29">
        <v>3.54</v>
      </c>
    </row>
    <row r="30" spans="629:633" x14ac:dyDescent="0.35">
      <c r="XE30" t="s">
        <v>138</v>
      </c>
      <c r="XF30">
        <v>5.76</v>
      </c>
      <c r="XH30" t="s">
        <v>181</v>
      </c>
      <c r="XI30">
        <v>12.78</v>
      </c>
    </row>
    <row r="31" spans="629:633" x14ac:dyDescent="0.35">
      <c r="XE31" t="s">
        <v>85</v>
      </c>
      <c r="XF31">
        <v>17.100000000000001</v>
      </c>
      <c r="XH31" t="s">
        <v>174</v>
      </c>
      <c r="XI31">
        <v>35.54</v>
      </c>
    </row>
    <row r="32" spans="629:633" x14ac:dyDescent="0.35">
      <c r="XE32" t="s">
        <v>204</v>
      </c>
      <c r="XF32">
        <v>96.19</v>
      </c>
      <c r="XH32" t="s">
        <v>102</v>
      </c>
      <c r="XI32">
        <v>24.59</v>
      </c>
    </row>
    <row r="33" spans="629:633" x14ac:dyDescent="0.35">
      <c r="XE33" t="s">
        <v>165</v>
      </c>
      <c r="XF33">
        <v>11.71</v>
      </c>
      <c r="XH33" t="s">
        <v>85</v>
      </c>
      <c r="XI33">
        <v>17.100000000000001</v>
      </c>
    </row>
    <row r="34" spans="629:633" x14ac:dyDescent="0.35">
      <c r="XE34" t="s">
        <v>181</v>
      </c>
      <c r="XF34">
        <v>12.78</v>
      </c>
      <c r="XH34" t="s">
        <v>165</v>
      </c>
      <c r="XI34">
        <v>11.71</v>
      </c>
    </row>
    <row r="35" spans="629:633" x14ac:dyDescent="0.35">
      <c r="XE35" t="s">
        <v>24</v>
      </c>
      <c r="XF35">
        <v>17.12</v>
      </c>
      <c r="XH35" t="s">
        <v>24</v>
      </c>
      <c r="XI35">
        <v>17.12</v>
      </c>
    </row>
    <row r="36" spans="629:633" x14ac:dyDescent="0.35">
      <c r="XE36" t="s">
        <v>192</v>
      </c>
      <c r="XF36">
        <v>76.319999999999993</v>
      </c>
      <c r="XH36" t="s">
        <v>86</v>
      </c>
      <c r="XI36">
        <v>3.61</v>
      </c>
    </row>
    <row r="37" spans="629:633" x14ac:dyDescent="0.35">
      <c r="XE37" t="s">
        <v>86</v>
      </c>
      <c r="XF37">
        <v>3.61</v>
      </c>
      <c r="XH37" t="s">
        <v>204</v>
      </c>
      <c r="XI37">
        <v>96.19</v>
      </c>
    </row>
    <row r="38" spans="629:633" x14ac:dyDescent="0.35">
      <c r="XE38" t="s">
        <v>199</v>
      </c>
      <c r="XF38">
        <v>4.21</v>
      </c>
      <c r="XH38" t="s">
        <v>133</v>
      </c>
      <c r="XI38">
        <v>58.05</v>
      </c>
    </row>
    <row r="39" spans="629:633" x14ac:dyDescent="0.35">
      <c r="XE39" t="s">
        <v>174</v>
      </c>
      <c r="XF39">
        <v>35.54</v>
      </c>
      <c r="XH39" t="s">
        <v>147</v>
      </c>
      <c r="XI39">
        <v>18.239999999999998</v>
      </c>
    </row>
    <row r="40" spans="629:633" x14ac:dyDescent="0.35">
      <c r="XE40" t="s">
        <v>205</v>
      </c>
      <c r="XF40">
        <v>90.8</v>
      </c>
      <c r="XH40" t="s">
        <v>192</v>
      </c>
      <c r="XI40">
        <v>76.319999999999993</v>
      </c>
    </row>
    <row r="41" spans="629:633" x14ac:dyDescent="0.35">
      <c r="XE41" t="s">
        <v>43</v>
      </c>
      <c r="XF41">
        <v>7.08</v>
      </c>
      <c r="XH41" t="s">
        <v>207</v>
      </c>
      <c r="XI41">
        <v>2.67</v>
      </c>
    </row>
    <row r="42" spans="629:633" x14ac:dyDescent="0.35">
      <c r="XE42" t="s">
        <v>145</v>
      </c>
      <c r="XF42">
        <v>19.72</v>
      </c>
      <c r="XH42" t="s">
        <v>205</v>
      </c>
      <c r="XI42">
        <v>90.8</v>
      </c>
    </row>
    <row r="43" spans="629:633" x14ac:dyDescent="0.35">
      <c r="XE43" t="s">
        <v>179</v>
      </c>
      <c r="XF43">
        <v>55.25</v>
      </c>
      <c r="XH43" t="s">
        <v>179</v>
      </c>
      <c r="XI43">
        <v>55.25</v>
      </c>
    </row>
    <row r="44" spans="629:633" x14ac:dyDescent="0.35">
      <c r="XE44" t="s">
        <v>102</v>
      </c>
      <c r="XF44">
        <v>24.59</v>
      </c>
      <c r="XH44" t="s">
        <v>211</v>
      </c>
      <c r="XI44">
        <v>47.78</v>
      </c>
    </row>
    <row r="45" spans="629:633" x14ac:dyDescent="0.35">
      <c r="XE45" t="s">
        <v>142</v>
      </c>
      <c r="XF45">
        <v>3.54</v>
      </c>
      <c r="XH45" t="s">
        <v>53</v>
      </c>
      <c r="XI45">
        <v>38.06</v>
      </c>
    </row>
    <row r="46" spans="629:633" x14ac:dyDescent="0.35">
      <c r="XE46" t="s">
        <v>65</v>
      </c>
      <c r="XF46">
        <v>15.98</v>
      </c>
      <c r="XH46" t="s">
        <v>127</v>
      </c>
      <c r="XI46">
        <v>41.91</v>
      </c>
    </row>
    <row r="47" spans="629:633" x14ac:dyDescent="0.35">
      <c r="XE47" t="s">
        <v>15</v>
      </c>
      <c r="XF47">
        <v>3.54</v>
      </c>
      <c r="XH47" t="s">
        <v>39</v>
      </c>
      <c r="XI47">
        <v>24.81</v>
      </c>
    </row>
    <row r="48" spans="629:633" x14ac:dyDescent="0.35">
      <c r="XE48" t="s">
        <v>133</v>
      </c>
      <c r="XF48">
        <v>58.05</v>
      </c>
      <c r="XH48" t="s">
        <v>26</v>
      </c>
      <c r="XI48">
        <v>23.79</v>
      </c>
    </row>
    <row r="49" spans="629:633" x14ac:dyDescent="0.35">
      <c r="XE49" t="s">
        <v>115</v>
      </c>
      <c r="XF49">
        <v>71.709999999999994</v>
      </c>
      <c r="XH49" t="s">
        <v>65</v>
      </c>
      <c r="XI49">
        <v>15.98</v>
      </c>
    </row>
    <row r="50" spans="629:633" x14ac:dyDescent="0.35">
      <c r="XE50" t="s">
        <v>147</v>
      </c>
      <c r="XF50">
        <v>18.239999999999998</v>
      </c>
      <c r="XH50" t="s">
        <v>163</v>
      </c>
      <c r="XI50">
        <v>29.25</v>
      </c>
    </row>
    <row r="51" spans="629:633" x14ac:dyDescent="0.35">
      <c r="XE51" t="s">
        <v>186</v>
      </c>
      <c r="XF51">
        <v>6.1</v>
      </c>
      <c r="XH51" t="s">
        <v>72</v>
      </c>
      <c r="XI51">
        <v>32.57</v>
      </c>
    </row>
    <row r="52" spans="629:633" x14ac:dyDescent="0.35">
      <c r="XE52" t="s">
        <v>211</v>
      </c>
      <c r="XF52">
        <v>47.78</v>
      </c>
      <c r="XH52" t="s">
        <v>183</v>
      </c>
      <c r="XI52">
        <v>33.159999999999997</v>
      </c>
    </row>
    <row r="53" spans="629:633" x14ac:dyDescent="0.35">
      <c r="XE53" t="s">
        <v>26</v>
      </c>
      <c r="XF53">
        <v>23.79</v>
      </c>
      <c r="XH53" t="s">
        <v>203</v>
      </c>
      <c r="XI53">
        <v>60.61</v>
      </c>
    </row>
    <row r="54" spans="629:633" x14ac:dyDescent="0.35">
      <c r="XE54" t="s">
        <v>40</v>
      </c>
      <c r="XF54">
        <v>14.44</v>
      </c>
      <c r="XH54" t="s">
        <v>141</v>
      </c>
      <c r="XI54">
        <v>96.19</v>
      </c>
    </row>
    <row r="55" spans="629:633" x14ac:dyDescent="0.35">
      <c r="XE55" t="s">
        <v>110</v>
      </c>
      <c r="XF55">
        <v>19.690000000000001</v>
      </c>
      <c r="XH55" t="s">
        <v>43</v>
      </c>
      <c r="XI55">
        <v>7.08</v>
      </c>
    </row>
    <row r="56" spans="629:633" x14ac:dyDescent="0.35">
      <c r="XE56" t="s">
        <v>203</v>
      </c>
      <c r="XF56">
        <v>60.61</v>
      </c>
      <c r="XH56" t="s">
        <v>75</v>
      </c>
      <c r="XI56">
        <v>18</v>
      </c>
    </row>
    <row r="57" spans="629:633" x14ac:dyDescent="0.35">
      <c r="XE57" t="s">
        <v>14</v>
      </c>
      <c r="XF57">
        <v>14.5</v>
      </c>
      <c r="XH57" t="s">
        <v>191</v>
      </c>
      <c r="XI57">
        <v>55.59</v>
      </c>
    </row>
    <row r="58" spans="629:633" x14ac:dyDescent="0.35">
      <c r="XE58" t="s">
        <v>103</v>
      </c>
      <c r="XF58">
        <v>20.71</v>
      </c>
      <c r="XH58" t="s">
        <v>158</v>
      </c>
      <c r="XI58">
        <v>1.41</v>
      </c>
    </row>
    <row r="59" spans="629:633" x14ac:dyDescent="0.35">
      <c r="XE59" t="s">
        <v>72</v>
      </c>
      <c r="XF59">
        <v>32.57</v>
      </c>
      <c r="XH59" t="s">
        <v>110</v>
      </c>
      <c r="XI59">
        <v>19.690000000000001</v>
      </c>
    </row>
    <row r="60" spans="629:633" x14ac:dyDescent="0.35">
      <c r="XE60" t="s">
        <v>39</v>
      </c>
      <c r="XF60">
        <v>24.81</v>
      </c>
      <c r="XH60" t="s">
        <v>40</v>
      </c>
      <c r="XI60">
        <v>14.44</v>
      </c>
    </row>
    <row r="61" spans="629:633" x14ac:dyDescent="0.35">
      <c r="XE61" t="s">
        <v>158</v>
      </c>
      <c r="XF61">
        <v>1.41</v>
      </c>
      <c r="XH61" t="s">
        <v>155</v>
      </c>
      <c r="XI61">
        <v>3.53</v>
      </c>
    </row>
    <row r="62" spans="629:633" x14ac:dyDescent="0.35">
      <c r="XE62" t="s">
        <v>53</v>
      </c>
      <c r="XF62">
        <v>38.06</v>
      </c>
      <c r="XH62" t="s">
        <v>51</v>
      </c>
      <c r="XI62">
        <v>9.14</v>
      </c>
    </row>
    <row r="63" spans="629:633" x14ac:dyDescent="0.35">
      <c r="XE63" t="s">
        <v>155</v>
      </c>
      <c r="XF63">
        <v>3.53</v>
      </c>
      <c r="XH63" t="s">
        <v>186</v>
      </c>
      <c r="XI63">
        <v>6.1</v>
      </c>
    </row>
    <row r="64" spans="629:633" x14ac:dyDescent="0.35">
      <c r="XE64" t="s">
        <v>127</v>
      </c>
      <c r="XF64">
        <v>41.91</v>
      </c>
      <c r="XH64" t="s">
        <v>73</v>
      </c>
      <c r="XI64">
        <v>20.54</v>
      </c>
    </row>
    <row r="65" spans="629:633" x14ac:dyDescent="0.35">
      <c r="XE65" t="s">
        <v>93</v>
      </c>
      <c r="XF65">
        <v>17.850000000000001</v>
      </c>
      <c r="XH65" t="s">
        <v>176</v>
      </c>
      <c r="XI65">
        <v>52.78</v>
      </c>
    </row>
    <row r="66" spans="629:633" x14ac:dyDescent="0.35">
      <c r="XE66" t="s">
        <v>163</v>
      </c>
      <c r="XF66">
        <v>29.25</v>
      </c>
      <c r="XH66" t="s">
        <v>120</v>
      </c>
      <c r="XI66">
        <v>5</v>
      </c>
    </row>
    <row r="67" spans="629:633" x14ac:dyDescent="0.35">
      <c r="XE67" t="s">
        <v>183</v>
      </c>
      <c r="XF67">
        <v>33.159999999999997</v>
      </c>
      <c r="XH67" t="s">
        <v>149</v>
      </c>
      <c r="XI67">
        <v>18.100000000000001</v>
      </c>
    </row>
    <row r="68" spans="629:633" x14ac:dyDescent="0.35">
      <c r="XE68" t="s">
        <v>168</v>
      </c>
      <c r="XF68">
        <v>7.94</v>
      </c>
      <c r="XH68" t="s">
        <v>164</v>
      </c>
      <c r="XI68">
        <v>56.89</v>
      </c>
    </row>
    <row r="69" spans="629:633" x14ac:dyDescent="0.35">
      <c r="XE69" t="s">
        <v>121</v>
      </c>
      <c r="XF69">
        <v>72.95</v>
      </c>
      <c r="XH69" t="s">
        <v>22</v>
      </c>
      <c r="XI69">
        <v>3.61</v>
      </c>
    </row>
    <row r="70" spans="629:633" x14ac:dyDescent="0.35">
      <c r="XE70" t="s">
        <v>8</v>
      </c>
      <c r="XF70">
        <v>2.04</v>
      </c>
      <c r="XH70" t="s">
        <v>27</v>
      </c>
      <c r="XI70">
        <v>5.84</v>
      </c>
    </row>
    <row r="71" spans="629:633" x14ac:dyDescent="0.35">
      <c r="XE71" t="s">
        <v>91</v>
      </c>
      <c r="XF71">
        <v>9.94</v>
      </c>
      <c r="XH71" t="s">
        <v>8</v>
      </c>
      <c r="XI71">
        <v>2.04</v>
      </c>
    </row>
    <row r="72" spans="629:633" x14ac:dyDescent="0.35">
      <c r="XE72" t="s">
        <v>149</v>
      </c>
      <c r="XF72">
        <v>18.100000000000001</v>
      </c>
      <c r="XH72" t="s">
        <v>14</v>
      </c>
      <c r="XI72">
        <v>14.5</v>
      </c>
    </row>
    <row r="73" spans="629:633" x14ac:dyDescent="0.35">
      <c r="XE73" t="s">
        <v>112</v>
      </c>
      <c r="XF73">
        <v>7.77</v>
      </c>
      <c r="XH73" t="s">
        <v>162</v>
      </c>
      <c r="XI73">
        <v>102.62</v>
      </c>
    </row>
    <row r="74" spans="629:633" x14ac:dyDescent="0.35">
      <c r="XE74" t="s">
        <v>27</v>
      </c>
      <c r="XF74">
        <v>5.84</v>
      </c>
      <c r="XH74" t="s">
        <v>166</v>
      </c>
      <c r="XI74">
        <v>6.02</v>
      </c>
    </row>
    <row r="75" spans="629:633" x14ac:dyDescent="0.35">
      <c r="XE75" t="s">
        <v>51</v>
      </c>
      <c r="XF75">
        <v>9.14</v>
      </c>
      <c r="XH75" t="s">
        <v>55</v>
      </c>
      <c r="XI75">
        <v>154.38</v>
      </c>
    </row>
    <row r="76" spans="629:633" x14ac:dyDescent="0.35">
      <c r="XE76" t="s">
        <v>162</v>
      </c>
      <c r="XF76">
        <v>102.62</v>
      </c>
      <c r="XH76" t="s">
        <v>131</v>
      </c>
      <c r="XI76">
        <v>63.26</v>
      </c>
    </row>
    <row r="77" spans="629:633" x14ac:dyDescent="0.35">
      <c r="XE77" t="s">
        <v>73</v>
      </c>
      <c r="XF77">
        <v>20.54</v>
      </c>
      <c r="XH77" t="s">
        <v>62</v>
      </c>
      <c r="XI77">
        <v>14.63</v>
      </c>
    </row>
    <row r="78" spans="629:633" x14ac:dyDescent="0.35">
      <c r="XE78" t="s">
        <v>191</v>
      </c>
      <c r="XF78">
        <v>55.59</v>
      </c>
      <c r="XH78" t="s">
        <v>93</v>
      </c>
      <c r="XI78">
        <v>17.850000000000001</v>
      </c>
    </row>
    <row r="79" spans="629:633" x14ac:dyDescent="0.35">
      <c r="XE79" t="s">
        <v>34</v>
      </c>
      <c r="XF79">
        <v>230.77</v>
      </c>
      <c r="XH79" t="s">
        <v>34</v>
      </c>
      <c r="XI79">
        <v>230.77</v>
      </c>
    </row>
    <row r="80" spans="629:633" x14ac:dyDescent="0.35">
      <c r="XE80" t="s">
        <v>176</v>
      </c>
      <c r="XF80">
        <v>52.78</v>
      </c>
      <c r="XH80" t="s">
        <v>168</v>
      </c>
      <c r="XI80">
        <v>7.94</v>
      </c>
    </row>
    <row r="81" spans="629:633" x14ac:dyDescent="0.35">
      <c r="XE81" t="s">
        <v>68</v>
      </c>
      <c r="XF81">
        <v>5.84</v>
      </c>
      <c r="XH81" t="s">
        <v>121</v>
      </c>
      <c r="XI81">
        <v>72.95</v>
      </c>
    </row>
    <row r="82" spans="629:633" x14ac:dyDescent="0.35">
      <c r="XE82" t="s">
        <v>131</v>
      </c>
      <c r="XF82">
        <v>63.26</v>
      </c>
      <c r="XH82" t="s">
        <v>126</v>
      </c>
      <c r="XI82">
        <v>76.2</v>
      </c>
    </row>
    <row r="83" spans="629:633" x14ac:dyDescent="0.35">
      <c r="XE83" t="s">
        <v>120</v>
      </c>
      <c r="XF83">
        <v>5</v>
      </c>
      <c r="XH83" t="s">
        <v>15</v>
      </c>
      <c r="XI83">
        <v>3.54</v>
      </c>
    </row>
    <row r="84" spans="629:633" x14ac:dyDescent="0.35">
      <c r="XE84" t="s">
        <v>124</v>
      </c>
      <c r="XF84">
        <v>15.55</v>
      </c>
      <c r="XH84" t="s">
        <v>145</v>
      </c>
      <c r="XI84">
        <v>19.72</v>
      </c>
    </row>
    <row r="85" spans="629:633" x14ac:dyDescent="0.35">
      <c r="XE85" t="s">
        <v>164</v>
      </c>
      <c r="XF85">
        <v>56.89</v>
      </c>
      <c r="XH85" t="s">
        <v>103</v>
      </c>
      <c r="XI85">
        <v>20.71</v>
      </c>
    </row>
    <row r="86" spans="629:633" x14ac:dyDescent="0.35">
      <c r="XE86" t="s">
        <v>126</v>
      </c>
      <c r="XF86">
        <v>76.2</v>
      </c>
      <c r="XH86" t="s">
        <v>112</v>
      </c>
      <c r="XI86">
        <v>7.77</v>
      </c>
    </row>
    <row r="87" spans="629:633" x14ac:dyDescent="0.35">
      <c r="XE87" t="s">
        <v>55</v>
      </c>
      <c r="XF87">
        <v>154.38</v>
      </c>
      <c r="XH87" t="s">
        <v>63</v>
      </c>
      <c r="XI87">
        <v>24.37</v>
      </c>
    </row>
    <row r="88" spans="629:633" x14ac:dyDescent="0.35">
      <c r="XE88" t="s">
        <v>20</v>
      </c>
      <c r="XF88">
        <v>81.91</v>
      </c>
      <c r="XH88" t="s">
        <v>42</v>
      </c>
      <c r="XI88">
        <v>11.02</v>
      </c>
    </row>
    <row r="89" spans="629:633" x14ac:dyDescent="0.35">
      <c r="XE89" t="s">
        <v>78</v>
      </c>
      <c r="XF89">
        <v>6.18</v>
      </c>
      <c r="XH89" t="s">
        <v>193</v>
      </c>
      <c r="XI89">
        <v>20.61</v>
      </c>
    </row>
    <row r="90" spans="629:633" x14ac:dyDescent="0.35">
      <c r="XE90" t="s">
        <v>22</v>
      </c>
      <c r="XF90">
        <v>3.61</v>
      </c>
      <c r="XH90" t="s">
        <v>105</v>
      </c>
      <c r="XI90">
        <v>6.63</v>
      </c>
    </row>
    <row r="91" spans="629:633" x14ac:dyDescent="0.35">
      <c r="XE91" t="s">
        <v>62</v>
      </c>
      <c r="XF91">
        <v>14.63</v>
      </c>
      <c r="XH91" t="s">
        <v>20</v>
      </c>
      <c r="XI91">
        <v>81.91</v>
      </c>
    </row>
    <row r="92" spans="629:633" x14ac:dyDescent="0.35">
      <c r="XE92" t="s">
        <v>63</v>
      </c>
      <c r="XF92">
        <v>24.37</v>
      </c>
      <c r="XH92" t="s">
        <v>19</v>
      </c>
      <c r="XI92">
        <v>99.31</v>
      </c>
    </row>
    <row r="93" spans="629:633" x14ac:dyDescent="0.35">
      <c r="XE93" t="s">
        <v>19</v>
      </c>
      <c r="XF93">
        <v>99.31</v>
      </c>
      <c r="XH93" t="s">
        <v>160</v>
      </c>
      <c r="XI93">
        <v>76.42</v>
      </c>
    </row>
    <row r="94" spans="629:633" x14ac:dyDescent="0.35">
      <c r="XE94" t="s">
        <v>141</v>
      </c>
      <c r="XF94">
        <v>96.19</v>
      </c>
      <c r="XH94" t="s">
        <v>137</v>
      </c>
      <c r="XI94">
        <v>22.8</v>
      </c>
    </row>
    <row r="95" spans="629:633" x14ac:dyDescent="0.35">
      <c r="XE95" t="s">
        <v>170</v>
      </c>
      <c r="XF95">
        <v>15.67</v>
      </c>
      <c r="XH95" t="s">
        <v>185</v>
      </c>
      <c r="XI95">
        <v>6.51</v>
      </c>
    </row>
    <row r="96" spans="629:633" x14ac:dyDescent="0.35">
      <c r="XE96" t="s">
        <v>146</v>
      </c>
      <c r="XF96">
        <v>15.95</v>
      </c>
      <c r="XH96" t="s">
        <v>69</v>
      </c>
      <c r="XI96">
        <v>33.479999999999997</v>
      </c>
    </row>
    <row r="97" spans="629:633" x14ac:dyDescent="0.35">
      <c r="XE97" t="s">
        <v>31</v>
      </c>
      <c r="XF97">
        <v>117.3</v>
      </c>
      <c r="XH97" t="s">
        <v>169</v>
      </c>
      <c r="XI97">
        <v>3.42</v>
      </c>
    </row>
    <row r="98" spans="629:633" x14ac:dyDescent="0.35">
      <c r="XE98" t="s">
        <v>42</v>
      </c>
      <c r="XF98">
        <v>11.02</v>
      </c>
      <c r="XH98" t="s">
        <v>180</v>
      </c>
      <c r="XI98">
        <v>43.07</v>
      </c>
    </row>
    <row r="99" spans="629:633" x14ac:dyDescent="0.35">
      <c r="XE99" t="s">
        <v>166</v>
      </c>
      <c r="XF99">
        <v>6.02</v>
      </c>
      <c r="XH99" t="s">
        <v>68</v>
      </c>
      <c r="XI99">
        <v>5.84</v>
      </c>
    </row>
    <row r="100" spans="629:633" x14ac:dyDescent="0.35">
      <c r="XE100" t="s">
        <v>180</v>
      </c>
      <c r="XF100">
        <v>43.07</v>
      </c>
      <c r="XH100" t="s">
        <v>91</v>
      </c>
      <c r="XI100">
        <v>9.94</v>
      </c>
    </row>
    <row r="101" spans="629:633" x14ac:dyDescent="0.35">
      <c r="XE101" t="s">
        <v>160</v>
      </c>
      <c r="XF101">
        <v>76.42</v>
      </c>
      <c r="XH101" t="s">
        <v>146</v>
      </c>
      <c r="XI101">
        <v>15.95</v>
      </c>
    </row>
    <row r="102" spans="629:633" x14ac:dyDescent="0.35">
      <c r="XE102" t="s">
        <v>212</v>
      </c>
      <c r="XF102">
        <v>3.43</v>
      </c>
      <c r="XH102" t="s">
        <v>31</v>
      </c>
      <c r="XI102">
        <v>117.3</v>
      </c>
    </row>
    <row r="103" spans="629:633" x14ac:dyDescent="0.35">
      <c r="XE103" t="s">
        <v>140</v>
      </c>
      <c r="XF103">
        <v>62.6</v>
      </c>
      <c r="XH103" t="s">
        <v>139</v>
      </c>
      <c r="XI103">
        <v>7.33</v>
      </c>
    </row>
    <row r="104" spans="629:633" x14ac:dyDescent="0.35">
      <c r="XE104" t="s">
        <v>137</v>
      </c>
      <c r="XF104">
        <v>22.8</v>
      </c>
      <c r="XH104" t="s">
        <v>170</v>
      </c>
      <c r="XI104">
        <v>15.67</v>
      </c>
    </row>
    <row r="105" spans="629:633" x14ac:dyDescent="0.35">
      <c r="XE105" t="s">
        <v>171</v>
      </c>
      <c r="XF105">
        <v>24.41</v>
      </c>
      <c r="XH105" t="s">
        <v>87</v>
      </c>
      <c r="XI105">
        <v>33.409999999999997</v>
      </c>
    </row>
    <row r="106" spans="629:633" x14ac:dyDescent="0.35">
      <c r="XE106" t="s">
        <v>105</v>
      </c>
      <c r="XF106">
        <v>6.63</v>
      </c>
      <c r="XH106" t="s">
        <v>202</v>
      </c>
      <c r="XI106">
        <v>40.51</v>
      </c>
    </row>
    <row r="107" spans="629:633" x14ac:dyDescent="0.35">
      <c r="XE107" t="s">
        <v>202</v>
      </c>
      <c r="XF107">
        <v>40.51</v>
      </c>
      <c r="XH107" t="s">
        <v>28</v>
      </c>
      <c r="XI107">
        <v>28.49</v>
      </c>
    </row>
    <row r="108" spans="629:633" x14ac:dyDescent="0.35">
      <c r="XE108" t="s">
        <v>210</v>
      </c>
      <c r="XF108">
        <v>7.71</v>
      </c>
      <c r="XH108" t="s">
        <v>124</v>
      </c>
      <c r="XI108">
        <v>15.55</v>
      </c>
    </row>
    <row r="109" spans="629:633" x14ac:dyDescent="0.35">
      <c r="XE109" t="s">
        <v>185</v>
      </c>
      <c r="XF109">
        <v>6.51</v>
      </c>
      <c r="XH109" t="s">
        <v>61</v>
      </c>
      <c r="XI109">
        <v>28.87</v>
      </c>
    </row>
    <row r="110" spans="629:633" x14ac:dyDescent="0.35">
      <c r="XE110" t="s">
        <v>69</v>
      </c>
      <c r="XF110">
        <v>33.479999999999997</v>
      </c>
      <c r="XH110" t="s">
        <v>81</v>
      </c>
      <c r="XI110">
        <v>41.99</v>
      </c>
    </row>
    <row r="111" spans="629:633" x14ac:dyDescent="0.35">
      <c r="XE111" t="s">
        <v>71</v>
      </c>
      <c r="XF111">
        <v>638.01</v>
      </c>
      <c r="XH111" t="s">
        <v>71</v>
      </c>
      <c r="XI111">
        <v>638.01</v>
      </c>
    </row>
    <row r="112" spans="629:633" x14ac:dyDescent="0.35">
      <c r="XE112" t="s">
        <v>197</v>
      </c>
      <c r="XF112">
        <v>3.2</v>
      </c>
      <c r="XH112" t="s">
        <v>115</v>
      </c>
      <c r="XI112">
        <v>71.709999999999994</v>
      </c>
    </row>
    <row r="113" spans="629:633" x14ac:dyDescent="0.35">
      <c r="XE113" t="s">
        <v>139</v>
      </c>
      <c r="XF113">
        <v>7.33</v>
      </c>
      <c r="XH113" t="s">
        <v>210</v>
      </c>
      <c r="XI113">
        <v>7.71</v>
      </c>
    </row>
    <row r="114" spans="629:633" x14ac:dyDescent="0.35">
      <c r="XE114" t="s">
        <v>175</v>
      </c>
      <c r="XF114">
        <v>5.86</v>
      </c>
      <c r="XH114" t="s">
        <v>48</v>
      </c>
      <c r="XI114">
        <v>9.1</v>
      </c>
    </row>
    <row r="115" spans="629:633" x14ac:dyDescent="0.35">
      <c r="XE115" t="s">
        <v>28</v>
      </c>
      <c r="XF115">
        <v>28.49</v>
      </c>
      <c r="XH115" t="s">
        <v>199</v>
      </c>
      <c r="XI115">
        <v>4.21</v>
      </c>
    </row>
    <row r="116" spans="629:633" x14ac:dyDescent="0.35">
      <c r="XE116" t="s">
        <v>81</v>
      </c>
      <c r="XF116">
        <v>41.99</v>
      </c>
      <c r="XH116" t="s">
        <v>2</v>
      </c>
      <c r="XI116">
        <v>13.07</v>
      </c>
    </row>
    <row r="117" spans="629:633" x14ac:dyDescent="0.35">
      <c r="XE117" t="s">
        <v>193</v>
      </c>
      <c r="XF117">
        <v>20.61</v>
      </c>
      <c r="XH117" t="s">
        <v>83</v>
      </c>
      <c r="XI117">
        <v>16.440000000000001</v>
      </c>
    </row>
    <row r="118" spans="629:633" x14ac:dyDescent="0.35">
      <c r="XE118" t="s">
        <v>36</v>
      </c>
      <c r="XF118">
        <v>34.950000000000003</v>
      </c>
      <c r="XH118" t="s">
        <v>140</v>
      </c>
      <c r="XI118">
        <v>62.6</v>
      </c>
    </row>
    <row r="119" spans="629:633" x14ac:dyDescent="0.35">
      <c r="XE119" t="s">
        <v>201</v>
      </c>
      <c r="XF119">
        <v>20.88</v>
      </c>
      <c r="XH119" t="s">
        <v>197</v>
      </c>
      <c r="XI119">
        <v>3.2</v>
      </c>
    </row>
    <row r="120" spans="629:633" x14ac:dyDescent="0.35">
      <c r="XE120" t="s">
        <v>88</v>
      </c>
      <c r="XF120">
        <v>33.909999999999997</v>
      </c>
      <c r="XH120" t="s">
        <v>175</v>
      </c>
      <c r="XI120">
        <v>5.86</v>
      </c>
    </row>
    <row r="121" spans="629:633" x14ac:dyDescent="0.35">
      <c r="XE121" t="s">
        <v>2</v>
      </c>
      <c r="XF121">
        <v>13.07</v>
      </c>
      <c r="XH121" t="s">
        <v>54</v>
      </c>
      <c r="XI121">
        <v>12.24</v>
      </c>
    </row>
    <row r="122" spans="629:633" x14ac:dyDescent="0.35">
      <c r="XE122" t="s">
        <v>61</v>
      </c>
      <c r="XF122">
        <v>28.87</v>
      </c>
      <c r="XH122" t="s">
        <v>78</v>
      </c>
      <c r="XI122">
        <v>6.18</v>
      </c>
    </row>
    <row r="123" spans="629:633" x14ac:dyDescent="0.35">
      <c r="XE123" t="s">
        <v>182</v>
      </c>
      <c r="XF123">
        <v>46.3</v>
      </c>
      <c r="XH123" t="s">
        <v>159</v>
      </c>
      <c r="XI123">
        <v>6.23</v>
      </c>
    </row>
    <row r="124" spans="629:633" x14ac:dyDescent="0.35">
      <c r="XE124" t="s">
        <v>106</v>
      </c>
      <c r="XF124">
        <v>32.5</v>
      </c>
      <c r="XH124" t="s">
        <v>36</v>
      </c>
      <c r="XI124">
        <v>34.950000000000003</v>
      </c>
    </row>
    <row r="125" spans="629:633" x14ac:dyDescent="0.35">
      <c r="XE125" t="s">
        <v>33</v>
      </c>
      <c r="XF125">
        <v>39.29</v>
      </c>
      <c r="XH125" t="s">
        <v>171</v>
      </c>
      <c r="XI125">
        <v>24.41</v>
      </c>
    </row>
    <row r="126" spans="629:633" x14ac:dyDescent="0.35">
      <c r="XE126" t="s">
        <v>116</v>
      </c>
      <c r="XF126">
        <v>66.569999999999993</v>
      </c>
      <c r="XH126" t="s">
        <v>116</v>
      </c>
      <c r="XI126">
        <v>66.569999999999993</v>
      </c>
    </row>
    <row r="127" spans="629:633" x14ac:dyDescent="0.35">
      <c r="XE127" t="s">
        <v>150</v>
      </c>
      <c r="XF127">
        <v>40.67</v>
      </c>
      <c r="XH127" t="s">
        <v>23</v>
      </c>
      <c r="XI127">
        <v>3.56</v>
      </c>
    </row>
    <row r="128" spans="629:633" x14ac:dyDescent="0.35">
      <c r="XE128" t="s">
        <v>54</v>
      </c>
      <c r="XF128">
        <v>12.24</v>
      </c>
      <c r="XH128" t="s">
        <v>182</v>
      </c>
      <c r="XI128">
        <v>46.3</v>
      </c>
    </row>
    <row r="129" spans="629:633" x14ac:dyDescent="0.35">
      <c r="XE129" t="s">
        <v>10</v>
      </c>
      <c r="XF129">
        <v>17.850000000000001</v>
      </c>
      <c r="XH129" t="s">
        <v>150</v>
      </c>
      <c r="XI129">
        <v>40.67</v>
      </c>
    </row>
    <row r="130" spans="629:633" x14ac:dyDescent="0.35">
      <c r="XE130" t="s">
        <v>84</v>
      </c>
      <c r="XF130">
        <v>38.590000000000003</v>
      </c>
      <c r="XH130" t="s">
        <v>106</v>
      </c>
      <c r="XI130">
        <v>32.5</v>
      </c>
    </row>
    <row r="131" spans="629:633" x14ac:dyDescent="0.35">
      <c r="XE131" t="s">
        <v>159</v>
      </c>
      <c r="XF131">
        <v>6.23</v>
      </c>
      <c r="XH131" t="s">
        <v>33</v>
      </c>
      <c r="XI131">
        <v>39.29</v>
      </c>
    </row>
    <row r="132" spans="629:633" x14ac:dyDescent="0.35">
      <c r="XE132" t="s">
        <v>83</v>
      </c>
      <c r="XF132">
        <v>16.440000000000001</v>
      </c>
      <c r="XH132" t="s">
        <v>95</v>
      </c>
      <c r="XI132">
        <v>6.68</v>
      </c>
    </row>
    <row r="133" spans="629:633" x14ac:dyDescent="0.35">
      <c r="XE133" t="s">
        <v>23</v>
      </c>
      <c r="XF133">
        <v>3.56</v>
      </c>
      <c r="XH133" t="s">
        <v>84</v>
      </c>
      <c r="XI133">
        <v>38.590000000000003</v>
      </c>
    </row>
    <row r="134" spans="629:633" x14ac:dyDescent="0.35">
      <c r="XE134" t="s">
        <v>113</v>
      </c>
      <c r="XF134">
        <v>23.52</v>
      </c>
      <c r="XH134" t="s">
        <v>101</v>
      </c>
      <c r="XI134">
        <v>22.51</v>
      </c>
    </row>
    <row r="135" spans="629:633" x14ac:dyDescent="0.35">
      <c r="XE135" t="s">
        <v>29</v>
      </c>
      <c r="XF135">
        <v>11.65</v>
      </c>
      <c r="XH135" t="s">
        <v>130</v>
      </c>
      <c r="XI135">
        <v>14.42</v>
      </c>
    </row>
    <row r="136" spans="629:633" x14ac:dyDescent="0.35">
      <c r="XE136" t="s">
        <v>6</v>
      </c>
      <c r="XF136">
        <v>51.84</v>
      </c>
      <c r="XH136" t="s">
        <v>80</v>
      </c>
      <c r="XI136">
        <v>12.33</v>
      </c>
    </row>
    <row r="137" spans="629:633" x14ac:dyDescent="0.35">
      <c r="XE137" t="s">
        <v>97</v>
      </c>
      <c r="XF137">
        <v>34.69</v>
      </c>
      <c r="XH137" t="s">
        <v>97</v>
      </c>
      <c r="XI137">
        <v>34.69</v>
      </c>
    </row>
    <row r="138" spans="629:633" x14ac:dyDescent="0.35">
      <c r="XE138" t="s">
        <v>196</v>
      </c>
      <c r="XF138">
        <v>53.02</v>
      </c>
      <c r="XH138" t="s">
        <v>212</v>
      </c>
      <c r="XI138">
        <v>3.43</v>
      </c>
    </row>
    <row r="139" spans="629:633" x14ac:dyDescent="0.35">
      <c r="XE139" t="s">
        <v>95</v>
      </c>
      <c r="XF139">
        <v>6.68</v>
      </c>
      <c r="XH139" t="s">
        <v>88</v>
      </c>
      <c r="XI139">
        <v>33.909999999999997</v>
      </c>
    </row>
    <row r="140" spans="629:633" x14ac:dyDescent="0.35">
      <c r="XE140" t="s">
        <v>80</v>
      </c>
      <c r="XF140">
        <v>12.33</v>
      </c>
      <c r="XH140" t="s">
        <v>56</v>
      </c>
      <c r="XI140">
        <v>3.57</v>
      </c>
    </row>
    <row r="141" spans="629:633" x14ac:dyDescent="0.35">
      <c r="XE141" t="s">
        <v>48</v>
      </c>
      <c r="XF141">
        <v>9.1</v>
      </c>
      <c r="XH141" t="s">
        <v>17</v>
      </c>
      <c r="XI141">
        <v>45.57</v>
      </c>
    </row>
    <row r="142" spans="629:633" x14ac:dyDescent="0.35">
      <c r="XE142" t="s">
        <v>32</v>
      </c>
      <c r="XF142">
        <v>95.31</v>
      </c>
      <c r="XH142" t="s">
        <v>70</v>
      </c>
      <c r="XI142">
        <v>8.77</v>
      </c>
    </row>
    <row r="143" spans="629:633" x14ac:dyDescent="0.35">
      <c r="XE143" t="s">
        <v>56</v>
      </c>
      <c r="XF143">
        <v>3.57</v>
      </c>
      <c r="XH143" t="s">
        <v>201</v>
      </c>
      <c r="XI143">
        <v>20.88</v>
      </c>
    </row>
    <row r="144" spans="629:633" x14ac:dyDescent="0.35">
      <c r="XE144" t="s">
        <v>169</v>
      </c>
      <c r="XF144">
        <v>3.42</v>
      </c>
      <c r="XH144" t="s">
        <v>82</v>
      </c>
      <c r="XI144">
        <v>105.12</v>
      </c>
    </row>
    <row r="145" spans="629:633" x14ac:dyDescent="0.35">
      <c r="XE145" t="s">
        <v>9</v>
      </c>
      <c r="XF145">
        <v>6.51</v>
      </c>
      <c r="XH145" t="s">
        <v>77</v>
      </c>
      <c r="XI145">
        <v>43.26</v>
      </c>
    </row>
    <row r="146" spans="629:633" x14ac:dyDescent="0.35">
      <c r="XE146" t="s">
        <v>209</v>
      </c>
      <c r="XF146">
        <v>25.37</v>
      </c>
      <c r="XH146" t="s">
        <v>32</v>
      </c>
      <c r="XI146">
        <v>95.31</v>
      </c>
    </row>
    <row r="147" spans="629:633" x14ac:dyDescent="0.35">
      <c r="XE147" t="s">
        <v>82</v>
      </c>
      <c r="XF147">
        <v>105.12</v>
      </c>
      <c r="XH147" t="s">
        <v>122</v>
      </c>
      <c r="XI147">
        <v>24.77</v>
      </c>
    </row>
    <row r="148" spans="629:633" x14ac:dyDescent="0.35">
      <c r="XE148" t="s">
        <v>74</v>
      </c>
      <c r="XF148">
        <v>7.53</v>
      </c>
      <c r="XH148" t="s">
        <v>29</v>
      </c>
      <c r="XI148">
        <v>11.65</v>
      </c>
    </row>
    <row r="149" spans="629:633" x14ac:dyDescent="0.35">
      <c r="XE149" t="s">
        <v>109</v>
      </c>
      <c r="XF149">
        <v>4.71</v>
      </c>
      <c r="XH149" t="s">
        <v>151</v>
      </c>
      <c r="XI149">
        <v>10.37</v>
      </c>
    </row>
    <row r="150" spans="629:633" x14ac:dyDescent="0.35">
      <c r="XE150" t="s">
        <v>104</v>
      </c>
      <c r="XF150">
        <v>2.78</v>
      </c>
      <c r="XH150" t="s">
        <v>104</v>
      </c>
      <c r="XI150">
        <v>2.78</v>
      </c>
    </row>
    <row r="151" spans="629:633" x14ac:dyDescent="0.35">
      <c r="XE151" t="s">
        <v>151</v>
      </c>
      <c r="XF151">
        <v>10.37</v>
      </c>
      <c r="XH151" t="s">
        <v>196</v>
      </c>
      <c r="XI151">
        <v>53.02</v>
      </c>
    </row>
    <row r="152" spans="629:633" x14ac:dyDescent="0.35">
      <c r="XE152" t="s">
        <v>70</v>
      </c>
      <c r="XF152">
        <v>8.77</v>
      </c>
      <c r="XH152" t="s">
        <v>25</v>
      </c>
      <c r="XI152">
        <v>22.07</v>
      </c>
    </row>
    <row r="153" spans="629:633" x14ac:dyDescent="0.35">
      <c r="XE153" t="s">
        <v>122</v>
      </c>
      <c r="XF153">
        <v>24.77</v>
      </c>
      <c r="XH153" t="s">
        <v>9</v>
      </c>
      <c r="XI153">
        <v>6.51</v>
      </c>
    </row>
    <row r="154" spans="629:633" x14ac:dyDescent="0.35">
      <c r="XE154" t="s">
        <v>130</v>
      </c>
      <c r="XF154">
        <v>14.42</v>
      </c>
      <c r="XH154" t="s">
        <v>6</v>
      </c>
      <c r="XI154">
        <v>51.84</v>
      </c>
    </row>
    <row r="155" spans="629:633" x14ac:dyDescent="0.35">
      <c r="XE155" t="s">
        <v>167</v>
      </c>
      <c r="XF155">
        <v>41.33</v>
      </c>
      <c r="XH155" t="s">
        <v>153</v>
      </c>
      <c r="XI155">
        <v>33.270000000000003</v>
      </c>
    </row>
    <row r="156" spans="629:633" x14ac:dyDescent="0.35">
      <c r="XE156" t="s">
        <v>206</v>
      </c>
      <c r="XF156">
        <v>24.5</v>
      </c>
      <c r="XH156" t="s">
        <v>16</v>
      </c>
      <c r="XI156">
        <v>56.11</v>
      </c>
    </row>
    <row r="157" spans="629:633" x14ac:dyDescent="0.35">
      <c r="XE157" t="s">
        <v>152</v>
      </c>
      <c r="XF157">
        <v>30</v>
      </c>
      <c r="XH157" t="s">
        <v>167</v>
      </c>
      <c r="XI157">
        <v>41.33</v>
      </c>
    </row>
    <row r="158" spans="629:633" x14ac:dyDescent="0.35">
      <c r="XE158" t="s">
        <v>173</v>
      </c>
      <c r="XF158">
        <v>21.43</v>
      </c>
      <c r="XH158" t="s">
        <v>173</v>
      </c>
      <c r="XI158">
        <v>21.43</v>
      </c>
    </row>
    <row r="159" spans="629:633" x14ac:dyDescent="0.35">
      <c r="XE159" t="s">
        <v>101</v>
      </c>
      <c r="XF159">
        <v>22.51</v>
      </c>
      <c r="XH159" t="s">
        <v>79</v>
      </c>
      <c r="XI159">
        <v>90.79</v>
      </c>
    </row>
    <row r="160" spans="629:633" x14ac:dyDescent="0.35">
      <c r="XE160" t="s">
        <v>153</v>
      </c>
      <c r="XF160">
        <v>33.270000000000003</v>
      </c>
      <c r="XH160" t="s">
        <v>206</v>
      </c>
      <c r="XI160">
        <v>24.5</v>
      </c>
    </row>
    <row r="161" spans="629:633" x14ac:dyDescent="0.35">
      <c r="XE161" t="s">
        <v>117</v>
      </c>
      <c r="XF161">
        <v>2.14</v>
      </c>
      <c r="XH161" t="s">
        <v>109</v>
      </c>
      <c r="XI161">
        <v>4.71</v>
      </c>
    </row>
    <row r="162" spans="629:633" x14ac:dyDescent="0.35">
      <c r="XE162" t="s">
        <v>16</v>
      </c>
      <c r="XF162">
        <v>56.11</v>
      </c>
      <c r="XH162" t="s">
        <v>52</v>
      </c>
      <c r="XI162">
        <v>1.81</v>
      </c>
    </row>
    <row r="163" spans="629:633" x14ac:dyDescent="0.35">
      <c r="XE163" t="s">
        <v>57</v>
      </c>
      <c r="XF163">
        <v>1.35</v>
      </c>
      <c r="XH163" t="s">
        <v>96</v>
      </c>
      <c r="XI163">
        <v>40.18</v>
      </c>
    </row>
    <row r="164" spans="629:633" x14ac:dyDescent="0.35">
      <c r="XE164" t="s">
        <v>96</v>
      </c>
      <c r="XF164">
        <v>40.18</v>
      </c>
      <c r="XH164" t="s">
        <v>189</v>
      </c>
      <c r="XI164">
        <v>51.89</v>
      </c>
    </row>
    <row r="165" spans="629:633" x14ac:dyDescent="0.35">
      <c r="XE165" t="s">
        <v>17</v>
      </c>
      <c r="XF165">
        <v>45.57</v>
      </c>
      <c r="XH165" t="s">
        <v>44</v>
      </c>
      <c r="XI165">
        <v>8.3000000000000007</v>
      </c>
    </row>
    <row r="166" spans="629:633" x14ac:dyDescent="0.35">
      <c r="XE166" t="s">
        <v>177</v>
      </c>
      <c r="XF166">
        <v>32.99</v>
      </c>
      <c r="XH166" t="s">
        <v>209</v>
      </c>
      <c r="XI166">
        <v>25.37</v>
      </c>
    </row>
    <row r="167" spans="629:633" x14ac:dyDescent="0.35">
      <c r="XE167" t="s">
        <v>79</v>
      </c>
      <c r="XF167">
        <v>90.79</v>
      </c>
      <c r="XH167" t="s">
        <v>74</v>
      </c>
      <c r="XI167">
        <v>7.53</v>
      </c>
    </row>
    <row r="168" spans="629:633" x14ac:dyDescent="0.35">
      <c r="XE168" t="s">
        <v>21</v>
      </c>
      <c r="XF168">
        <v>15.71</v>
      </c>
      <c r="XH168" t="s">
        <v>152</v>
      </c>
      <c r="XI168">
        <v>30</v>
      </c>
    </row>
    <row r="169" spans="629:633" x14ac:dyDescent="0.35">
      <c r="XE169" t="s">
        <v>92</v>
      </c>
      <c r="XF169">
        <v>8.93</v>
      </c>
      <c r="XH169" t="s">
        <v>12</v>
      </c>
      <c r="XI169">
        <v>24.33</v>
      </c>
    </row>
    <row r="170" spans="629:633" x14ac:dyDescent="0.35">
      <c r="XE170" t="s">
        <v>60</v>
      </c>
      <c r="XF170">
        <v>39.14</v>
      </c>
      <c r="XH170" t="s">
        <v>198</v>
      </c>
      <c r="XI170">
        <v>9.7799999999999994</v>
      </c>
    </row>
    <row r="171" spans="629:633" x14ac:dyDescent="0.35">
      <c r="XE171" t="s">
        <v>134</v>
      </c>
      <c r="XF171">
        <v>3.1</v>
      </c>
      <c r="XH171" t="s">
        <v>10</v>
      </c>
      <c r="XI171">
        <v>17.850000000000001</v>
      </c>
    </row>
    <row r="172" spans="629:633" x14ac:dyDescent="0.35">
      <c r="XE172" t="s">
        <v>12</v>
      </c>
      <c r="XF172">
        <v>24.33</v>
      </c>
      <c r="XH172" t="s">
        <v>144</v>
      </c>
      <c r="XI172">
        <v>12.39</v>
      </c>
    </row>
    <row r="173" spans="629:633" x14ac:dyDescent="0.35">
      <c r="XE173" t="s">
        <v>198</v>
      </c>
      <c r="XF173">
        <v>9.7799999999999994</v>
      </c>
      <c r="XH173" t="s">
        <v>94</v>
      </c>
      <c r="XI173">
        <v>20.92</v>
      </c>
    </row>
    <row r="174" spans="629:633" x14ac:dyDescent="0.35">
      <c r="XE174" t="s">
        <v>64</v>
      </c>
      <c r="XF174">
        <v>17.73</v>
      </c>
      <c r="XH174" t="s">
        <v>57</v>
      </c>
      <c r="XI174">
        <v>1.35</v>
      </c>
    </row>
    <row r="175" spans="629:633" x14ac:dyDescent="0.35">
      <c r="XE175" t="s">
        <v>144</v>
      </c>
      <c r="XF175">
        <v>12.39</v>
      </c>
      <c r="XH175" t="s">
        <v>64</v>
      </c>
      <c r="XI175">
        <v>17.73</v>
      </c>
    </row>
    <row r="176" spans="629:633" x14ac:dyDescent="0.35">
      <c r="XE176" t="s">
        <v>90</v>
      </c>
      <c r="XF176">
        <v>14.55</v>
      </c>
      <c r="XH176" t="s">
        <v>100</v>
      </c>
      <c r="XI176">
        <v>97.71</v>
      </c>
    </row>
    <row r="177" spans="629:633" x14ac:dyDescent="0.35">
      <c r="XE177" t="s">
        <v>77</v>
      </c>
      <c r="XF177">
        <v>43.26</v>
      </c>
      <c r="XH177" t="s">
        <v>92</v>
      </c>
      <c r="XI177">
        <v>8.93</v>
      </c>
    </row>
    <row r="178" spans="629:633" x14ac:dyDescent="0.35">
      <c r="XE178" t="s">
        <v>52</v>
      </c>
      <c r="XF178">
        <v>1.81</v>
      </c>
      <c r="XH178" t="s">
        <v>18</v>
      </c>
      <c r="XI178">
        <v>23.39</v>
      </c>
    </row>
    <row r="179" spans="629:633" x14ac:dyDescent="0.35">
      <c r="XE179" t="s">
        <v>98</v>
      </c>
      <c r="XF179">
        <v>54.35</v>
      </c>
      <c r="XH179" t="s">
        <v>4</v>
      </c>
      <c r="XI179">
        <v>3.73</v>
      </c>
    </row>
    <row r="180" spans="629:633" x14ac:dyDescent="0.35">
      <c r="XE180" t="s">
        <v>4</v>
      </c>
      <c r="XF180">
        <v>3.73</v>
      </c>
      <c r="XH180" t="s">
        <v>111</v>
      </c>
      <c r="XI180">
        <v>2.91</v>
      </c>
    </row>
    <row r="181" spans="629:633" x14ac:dyDescent="0.35">
      <c r="XE181" t="s">
        <v>44</v>
      </c>
      <c r="XF181">
        <v>8.3000000000000007</v>
      </c>
      <c r="XH181" t="s">
        <v>177</v>
      </c>
      <c r="XI181">
        <v>32.99</v>
      </c>
    </row>
    <row r="182" spans="629:633" x14ac:dyDescent="0.35">
      <c r="XE182" t="s">
        <v>94</v>
      </c>
      <c r="XF182">
        <v>20.92</v>
      </c>
      <c r="XH182" t="s">
        <v>113</v>
      </c>
      <c r="XI182">
        <v>23.52</v>
      </c>
    </row>
    <row r="183" spans="629:633" x14ac:dyDescent="0.35">
      <c r="XE183" t="s">
        <v>25</v>
      </c>
      <c r="XF183">
        <v>22.07</v>
      </c>
      <c r="XH183" t="s">
        <v>50</v>
      </c>
      <c r="XI183">
        <v>20.399999999999999</v>
      </c>
    </row>
    <row r="184" spans="629:633" x14ac:dyDescent="0.35">
      <c r="XE184" t="s">
        <v>208</v>
      </c>
      <c r="XF184">
        <v>22.07</v>
      </c>
      <c r="XH184" t="s">
        <v>21</v>
      </c>
      <c r="XI184">
        <v>15.71</v>
      </c>
    </row>
    <row r="185" spans="629:633" x14ac:dyDescent="0.35">
      <c r="XE185" t="s">
        <v>100</v>
      </c>
      <c r="XF185">
        <v>97.71</v>
      </c>
      <c r="XH185" t="s">
        <v>60</v>
      </c>
      <c r="XI185">
        <v>39.14</v>
      </c>
    </row>
    <row r="186" spans="629:633" x14ac:dyDescent="0.35">
      <c r="XE186" t="s">
        <v>200</v>
      </c>
      <c r="XF186">
        <v>21.74</v>
      </c>
      <c r="XH186" t="s">
        <v>178</v>
      </c>
      <c r="XI186">
        <v>46.15</v>
      </c>
    </row>
    <row r="187" spans="629:633" x14ac:dyDescent="0.35">
      <c r="XE187" t="s">
        <v>189</v>
      </c>
      <c r="XF187">
        <v>51.89</v>
      </c>
      <c r="XH187" t="s">
        <v>98</v>
      </c>
      <c r="XI187">
        <v>54.35</v>
      </c>
    </row>
    <row r="188" spans="629:633" x14ac:dyDescent="0.35">
      <c r="XE188" t="s">
        <v>119</v>
      </c>
      <c r="XF188">
        <v>13.3</v>
      </c>
      <c r="XH188" t="s">
        <v>90</v>
      </c>
      <c r="XI188">
        <v>14.55</v>
      </c>
    </row>
    <row r="189" spans="629:633" x14ac:dyDescent="0.35">
      <c r="XE189" t="s">
        <v>178</v>
      </c>
      <c r="XF189">
        <v>46.15</v>
      </c>
      <c r="XH189" t="s">
        <v>200</v>
      </c>
      <c r="XI189">
        <v>21.74</v>
      </c>
    </row>
    <row r="190" spans="629:633" x14ac:dyDescent="0.35">
      <c r="XE190" t="s">
        <v>114</v>
      </c>
      <c r="XF190">
        <v>49.27</v>
      </c>
      <c r="XH190" t="s">
        <v>208</v>
      </c>
      <c r="XI190">
        <v>21.87</v>
      </c>
    </row>
    <row r="191" spans="629:633" x14ac:dyDescent="0.35">
      <c r="XE191" t="s">
        <v>50</v>
      </c>
      <c r="XF191">
        <v>20.399999999999999</v>
      </c>
      <c r="XH191" t="s">
        <v>154</v>
      </c>
      <c r="XI191">
        <v>27.53</v>
      </c>
    </row>
    <row r="192" spans="629:633" x14ac:dyDescent="0.35">
      <c r="XE192" t="s">
        <v>18</v>
      </c>
      <c r="XF192">
        <v>23.39</v>
      </c>
      <c r="XH192" t="s">
        <v>134</v>
      </c>
      <c r="XI192">
        <v>3.1</v>
      </c>
    </row>
    <row r="193" spans="629:633" x14ac:dyDescent="0.35">
      <c r="XE193" t="s">
        <v>99</v>
      </c>
      <c r="XF193">
        <v>13.27</v>
      </c>
      <c r="XH193" t="s">
        <v>117</v>
      </c>
      <c r="XI193">
        <v>2.14</v>
      </c>
    </row>
    <row r="194" spans="629:633" x14ac:dyDescent="0.35">
      <c r="XE194" t="s">
        <v>154</v>
      </c>
      <c r="XF194">
        <v>27.53</v>
      </c>
      <c r="XH194" t="s">
        <v>187</v>
      </c>
      <c r="XI194">
        <v>27.72</v>
      </c>
    </row>
    <row r="195" spans="629:633" x14ac:dyDescent="0.35">
      <c r="XE195" t="s">
        <v>13</v>
      </c>
      <c r="XF195">
        <v>31.35</v>
      </c>
      <c r="XH195" t="s">
        <v>114</v>
      </c>
      <c r="XI195">
        <v>49.27</v>
      </c>
    </row>
    <row r="196" spans="629:633" x14ac:dyDescent="0.35">
      <c r="XE196" t="s">
        <v>11</v>
      </c>
      <c r="XF196">
        <v>12.98</v>
      </c>
      <c r="XH196" t="s">
        <v>11</v>
      </c>
      <c r="XI196">
        <v>12.98</v>
      </c>
    </row>
    <row r="197" spans="629:633" x14ac:dyDescent="0.35">
      <c r="XE197" t="s">
        <v>111</v>
      </c>
      <c r="XF197">
        <v>2.91</v>
      </c>
      <c r="XH197" t="s">
        <v>13</v>
      </c>
      <c r="XI197">
        <v>31.35</v>
      </c>
    </row>
    <row r="198" spans="629:633" x14ac:dyDescent="0.35">
      <c r="XE198" t="s">
        <v>123</v>
      </c>
      <c r="XF198">
        <v>31.84</v>
      </c>
      <c r="XH198" t="s">
        <v>119</v>
      </c>
      <c r="XI198">
        <v>13.3</v>
      </c>
    </row>
    <row r="199" spans="629:633" x14ac:dyDescent="0.35">
      <c r="XE199" t="s">
        <v>195</v>
      </c>
      <c r="XF199">
        <v>11.94</v>
      </c>
      <c r="XH199" t="s">
        <v>195</v>
      </c>
      <c r="XI199">
        <v>11.94</v>
      </c>
    </row>
    <row r="200" spans="629:633" x14ac:dyDescent="0.35">
      <c r="XE200" t="s">
        <v>187</v>
      </c>
      <c r="XF200">
        <v>27.72</v>
      </c>
      <c r="XH200" t="s">
        <v>99</v>
      </c>
      <c r="XI200">
        <v>13.27</v>
      </c>
    </row>
    <row r="201" spans="629:633" x14ac:dyDescent="0.35">
      <c r="XE201" t="s">
        <v>35</v>
      </c>
      <c r="XF201">
        <v>34.049999999999997</v>
      </c>
      <c r="XH201" t="s">
        <v>135</v>
      </c>
      <c r="XI201">
        <v>2.64</v>
      </c>
    </row>
    <row r="202" spans="629:633" x14ac:dyDescent="0.35">
      <c r="XE202" t="s">
        <v>5</v>
      </c>
      <c r="XF202">
        <v>18.63</v>
      </c>
      <c r="XH202" t="s">
        <v>35</v>
      </c>
      <c r="XI202">
        <v>34.049999999999997</v>
      </c>
    </row>
    <row r="203" spans="629:633" x14ac:dyDescent="0.35">
      <c r="XE203" t="s">
        <v>135</v>
      </c>
      <c r="XF203">
        <v>2.64</v>
      </c>
      <c r="XH203" t="s">
        <v>123</v>
      </c>
      <c r="XI203">
        <v>31.84</v>
      </c>
    </row>
    <row r="204" spans="629:633" x14ac:dyDescent="0.35">
      <c r="XE204" t="s">
        <v>7</v>
      </c>
      <c r="XF204">
        <v>29</v>
      </c>
      <c r="XH204" t="s">
        <v>5</v>
      </c>
      <c r="XI204">
        <v>18.63</v>
      </c>
    </row>
    <row r="205" spans="629:633" x14ac:dyDescent="0.35">
      <c r="XE205" t="s">
        <v>190</v>
      </c>
      <c r="XF205">
        <v>9</v>
      </c>
      <c r="XH205" t="s">
        <v>59</v>
      </c>
      <c r="XI205">
        <v>40.76</v>
      </c>
    </row>
    <row r="206" spans="629:633" x14ac:dyDescent="0.35">
      <c r="XE206" t="s">
        <v>59</v>
      </c>
      <c r="XF206">
        <v>40.76</v>
      </c>
      <c r="XH206" t="s">
        <v>46</v>
      </c>
      <c r="XI206">
        <v>70.48</v>
      </c>
    </row>
    <row r="207" spans="629:633" x14ac:dyDescent="0.35">
      <c r="XE207" t="s">
        <v>46</v>
      </c>
      <c r="XF207">
        <v>70.48</v>
      </c>
      <c r="XH207" t="s">
        <v>45</v>
      </c>
      <c r="XI207">
        <v>31.84</v>
      </c>
    </row>
    <row r="208" spans="629:633" x14ac:dyDescent="0.35">
      <c r="XE208" t="s">
        <v>58</v>
      </c>
      <c r="XF208">
        <v>4.08</v>
      </c>
      <c r="XH208" t="s">
        <v>58</v>
      </c>
      <c r="XI208">
        <v>4.08</v>
      </c>
    </row>
    <row r="209" spans="629:633" x14ac:dyDescent="0.35">
      <c r="XE209" t="s">
        <v>45</v>
      </c>
      <c r="XF209">
        <v>31.84</v>
      </c>
      <c r="XH209" t="s">
        <v>190</v>
      </c>
      <c r="XI209">
        <v>9</v>
      </c>
    </row>
    <row r="210" spans="629:633" x14ac:dyDescent="0.35">
      <c r="XE210" t="s">
        <v>157</v>
      </c>
      <c r="XF210">
        <v>8.9499999999999993</v>
      </c>
      <c r="XH210" t="s">
        <v>157</v>
      </c>
      <c r="XI210">
        <v>8.9499999999999993</v>
      </c>
    </row>
    <row r="211" spans="629:633" x14ac:dyDescent="0.35">
      <c r="XE211" t="s">
        <v>125</v>
      </c>
      <c r="XF211">
        <v>58.35</v>
      </c>
      <c r="XH211" t="s">
        <v>125</v>
      </c>
      <c r="XI211">
        <v>58.35</v>
      </c>
    </row>
    <row r="212" spans="629:633" x14ac:dyDescent="0.35">
      <c r="XE212" t="s">
        <v>194</v>
      </c>
      <c r="XF212">
        <v>7.17</v>
      </c>
      <c r="XH212" t="s">
        <v>194</v>
      </c>
      <c r="XI212">
        <v>7.17</v>
      </c>
    </row>
    <row r="213" spans="629:633" x14ac:dyDescent="0.35">
      <c r="XE213" t="s">
        <v>216</v>
      </c>
      <c r="XF213">
        <v>7.17</v>
      </c>
      <c r="XH213" t="s">
        <v>216</v>
      </c>
      <c r="XI213">
        <v>7.17</v>
      </c>
    </row>
    <row r="214" spans="629:633" x14ac:dyDescent="0.35">
      <c r="XE214" t="s">
        <v>217</v>
      </c>
      <c r="XF214">
        <v>7.17</v>
      </c>
      <c r="XH214" t="s">
        <v>217</v>
      </c>
      <c r="XI214">
        <v>7.17</v>
      </c>
    </row>
    <row r="215" spans="629:633" x14ac:dyDescent="0.35">
      <c r="XE215" t="s">
        <v>218</v>
      </c>
      <c r="XF215">
        <v>7.17</v>
      </c>
      <c r="XH215" t="s">
        <v>218</v>
      </c>
      <c r="XI215">
        <v>7.17</v>
      </c>
    </row>
    <row r="216" spans="629:633" x14ac:dyDescent="0.35">
      <c r="XE216" t="s">
        <v>219</v>
      </c>
      <c r="XF216">
        <v>7.17</v>
      </c>
      <c r="XH216" t="s">
        <v>219</v>
      </c>
      <c r="XI216">
        <v>7.17</v>
      </c>
    </row>
    <row r="217" spans="629:633" x14ac:dyDescent="0.35">
      <c r="XE217" t="s">
        <v>220</v>
      </c>
      <c r="XF217">
        <v>7.17</v>
      </c>
      <c r="XH217" t="s">
        <v>220</v>
      </c>
      <c r="XI217">
        <v>7.17</v>
      </c>
    </row>
    <row r="218" spans="629:633" x14ac:dyDescent="0.35">
      <c r="XE218" t="s">
        <v>221</v>
      </c>
      <c r="XF218">
        <v>7.17</v>
      </c>
      <c r="XH218" t="s">
        <v>221</v>
      </c>
      <c r="XI218">
        <v>7.17</v>
      </c>
    </row>
    <row r="219" spans="629:633" x14ac:dyDescent="0.35">
      <c r="XE219" t="s">
        <v>222</v>
      </c>
      <c r="XF219">
        <v>7.17</v>
      </c>
      <c r="XH219" t="s">
        <v>222</v>
      </c>
      <c r="XI219">
        <v>7.17</v>
      </c>
    </row>
    <row r="220" spans="629:633" x14ac:dyDescent="0.35">
      <c r="XE220" t="s">
        <v>223</v>
      </c>
      <c r="XF220">
        <v>7.17</v>
      </c>
      <c r="XH220" t="s">
        <v>223</v>
      </c>
      <c r="XI220">
        <v>7.17</v>
      </c>
    </row>
    <row r="221" spans="629:633" x14ac:dyDescent="0.35">
      <c r="XE221" t="s">
        <v>224</v>
      </c>
      <c r="XF221">
        <v>7.17</v>
      </c>
      <c r="XH221" t="s">
        <v>224</v>
      </c>
      <c r="XI221">
        <v>7.17</v>
      </c>
    </row>
    <row r="222" spans="629:633" x14ac:dyDescent="0.35">
      <c r="XE222" t="s">
        <v>225</v>
      </c>
      <c r="XF222">
        <v>7.17</v>
      </c>
      <c r="XH222" t="s">
        <v>225</v>
      </c>
      <c r="XI222">
        <v>7.17</v>
      </c>
    </row>
    <row r="223" spans="629:633" x14ac:dyDescent="0.35">
      <c r="XE223" t="s">
        <v>226</v>
      </c>
      <c r="XF223">
        <v>7.17</v>
      </c>
      <c r="XH223" t="s">
        <v>226</v>
      </c>
      <c r="XI223">
        <v>7.17</v>
      </c>
    </row>
    <row r="224" spans="629:633" x14ac:dyDescent="0.35">
      <c r="XE224" t="s">
        <v>227</v>
      </c>
      <c r="XF224">
        <v>7.17</v>
      </c>
      <c r="XH224" t="s">
        <v>227</v>
      </c>
      <c r="XI224">
        <v>7.17</v>
      </c>
    </row>
    <row r="225" spans="629:633" x14ac:dyDescent="0.35">
      <c r="XE225" t="s">
        <v>228</v>
      </c>
      <c r="XF225">
        <v>7.17</v>
      </c>
      <c r="XH225" t="s">
        <v>228</v>
      </c>
      <c r="XI225">
        <v>7.17</v>
      </c>
    </row>
    <row r="226" spans="629:633" x14ac:dyDescent="0.35">
      <c r="XE226" t="s">
        <v>229</v>
      </c>
      <c r="XF226">
        <v>7.17</v>
      </c>
      <c r="XH226" t="s">
        <v>229</v>
      </c>
      <c r="XI226">
        <v>7.17</v>
      </c>
    </row>
    <row r="227" spans="629:633" x14ac:dyDescent="0.35">
      <c r="XE227" t="s">
        <v>230</v>
      </c>
      <c r="XF227">
        <v>7.17</v>
      </c>
      <c r="XH227" t="s">
        <v>230</v>
      </c>
      <c r="XI227">
        <v>7.17</v>
      </c>
    </row>
    <row r="228" spans="629:633" x14ac:dyDescent="0.35">
      <c r="XE228" t="s">
        <v>231</v>
      </c>
      <c r="XF228">
        <v>7.17</v>
      </c>
      <c r="XH228" t="s">
        <v>231</v>
      </c>
      <c r="XI228">
        <v>7.17</v>
      </c>
    </row>
    <row r="229" spans="629:633" x14ac:dyDescent="0.35">
      <c r="XE229" t="s">
        <v>232</v>
      </c>
      <c r="XF229">
        <v>7.17</v>
      </c>
      <c r="XH229" t="s">
        <v>232</v>
      </c>
      <c r="XI229">
        <v>7.17</v>
      </c>
    </row>
    <row r="230" spans="629:633" x14ac:dyDescent="0.35">
      <c r="XE230" t="s">
        <v>233</v>
      </c>
      <c r="XF230">
        <v>7.17</v>
      </c>
      <c r="XH230" t="s">
        <v>233</v>
      </c>
      <c r="XI230">
        <v>7.17</v>
      </c>
    </row>
    <row r="231" spans="629:633" x14ac:dyDescent="0.35">
      <c r="XE231" t="s">
        <v>234</v>
      </c>
      <c r="XF231">
        <v>7.17</v>
      </c>
      <c r="XH231" t="s">
        <v>234</v>
      </c>
      <c r="XI231">
        <v>7.17</v>
      </c>
    </row>
    <row r="232" spans="629:633" x14ac:dyDescent="0.35">
      <c r="XE232" t="s">
        <v>235</v>
      </c>
      <c r="XF232">
        <v>7.17</v>
      </c>
      <c r="XH232" t="s">
        <v>235</v>
      </c>
      <c r="XI232">
        <v>7.17</v>
      </c>
    </row>
    <row r="233" spans="629:633" x14ac:dyDescent="0.35">
      <c r="XE233" t="s">
        <v>236</v>
      </c>
      <c r="XF233">
        <v>7.17</v>
      </c>
      <c r="XH233" t="s">
        <v>236</v>
      </c>
      <c r="XI233">
        <v>7.17</v>
      </c>
    </row>
    <row r="234" spans="629:633" x14ac:dyDescent="0.35">
      <c r="XE234" t="s">
        <v>237</v>
      </c>
      <c r="XF234">
        <v>7.17</v>
      </c>
      <c r="XH234" t="s">
        <v>237</v>
      </c>
      <c r="XI234">
        <v>7.17</v>
      </c>
    </row>
    <row r="235" spans="629:633" x14ac:dyDescent="0.35">
      <c r="XE235" t="s">
        <v>238</v>
      </c>
      <c r="XF235">
        <v>7.17</v>
      </c>
      <c r="XH235" t="s">
        <v>238</v>
      </c>
      <c r="XI235">
        <v>7.17</v>
      </c>
    </row>
    <row r="236" spans="629:633" x14ac:dyDescent="0.35">
      <c r="XE236" t="s">
        <v>239</v>
      </c>
      <c r="XF236">
        <v>7.17</v>
      </c>
      <c r="XH236" t="s">
        <v>239</v>
      </c>
      <c r="XI236">
        <v>7.17</v>
      </c>
    </row>
    <row r="237" spans="629:633" x14ac:dyDescent="0.35">
      <c r="XE237" t="s">
        <v>240</v>
      </c>
      <c r="XF237">
        <v>7.17</v>
      </c>
      <c r="XH237" t="s">
        <v>240</v>
      </c>
      <c r="XI237">
        <v>7.17</v>
      </c>
    </row>
    <row r="238" spans="629:633" x14ac:dyDescent="0.35">
      <c r="XE238" t="s">
        <v>241</v>
      </c>
      <c r="XF238">
        <v>7.17</v>
      </c>
      <c r="XH238" t="s">
        <v>241</v>
      </c>
      <c r="XI238">
        <v>7.17</v>
      </c>
    </row>
    <row r="239" spans="629:633" x14ac:dyDescent="0.35">
      <c r="XE239" t="s">
        <v>242</v>
      </c>
      <c r="XF239">
        <v>7.17</v>
      </c>
      <c r="XH239" t="s">
        <v>242</v>
      </c>
      <c r="XI239">
        <v>7.17</v>
      </c>
    </row>
    <row r="240" spans="629:633" x14ac:dyDescent="0.35">
      <c r="XE240" t="s">
        <v>243</v>
      </c>
      <c r="XF240">
        <v>7.17</v>
      </c>
      <c r="XH240" t="s">
        <v>243</v>
      </c>
      <c r="XI240">
        <v>7.17</v>
      </c>
    </row>
    <row r="241" spans="629:633" x14ac:dyDescent="0.35">
      <c r="XE241" t="s">
        <v>244</v>
      </c>
      <c r="XF241">
        <v>7.17</v>
      </c>
      <c r="XH241" t="s">
        <v>244</v>
      </c>
      <c r="XI241">
        <v>7.17</v>
      </c>
    </row>
    <row r="242" spans="629:633" x14ac:dyDescent="0.35">
      <c r="XE242" t="s">
        <v>245</v>
      </c>
      <c r="XF242">
        <v>7.17</v>
      </c>
      <c r="XH242" t="s">
        <v>245</v>
      </c>
      <c r="XI242">
        <v>7.17</v>
      </c>
    </row>
    <row r="243" spans="629:633" x14ac:dyDescent="0.35">
      <c r="XE243" t="s">
        <v>246</v>
      </c>
      <c r="XF243">
        <v>7.17</v>
      </c>
      <c r="XH243" t="s">
        <v>246</v>
      </c>
      <c r="XI243">
        <v>7.17</v>
      </c>
    </row>
    <row r="244" spans="629:633" x14ac:dyDescent="0.35">
      <c r="XE244" t="s">
        <v>247</v>
      </c>
      <c r="XF244">
        <v>7.17</v>
      </c>
      <c r="XH244" t="s">
        <v>247</v>
      </c>
      <c r="XI244">
        <v>7.17</v>
      </c>
    </row>
    <row r="245" spans="629:633" x14ac:dyDescent="0.35">
      <c r="XE245" t="s">
        <v>248</v>
      </c>
      <c r="XF245">
        <v>7.17</v>
      </c>
      <c r="XH245" t="s">
        <v>248</v>
      </c>
      <c r="XI245">
        <v>7.17</v>
      </c>
    </row>
    <row r="246" spans="629:633" x14ac:dyDescent="0.35">
      <c r="XE246" t="s">
        <v>249</v>
      </c>
      <c r="XF246">
        <v>7.17</v>
      </c>
      <c r="XH246" t="s">
        <v>249</v>
      </c>
      <c r="XI246">
        <v>7.17</v>
      </c>
    </row>
    <row r="247" spans="629:633" x14ac:dyDescent="0.35">
      <c r="XE247" t="s">
        <v>250</v>
      </c>
      <c r="XF247">
        <v>7.17</v>
      </c>
      <c r="XH247" t="s">
        <v>250</v>
      </c>
      <c r="XI247">
        <v>7.17</v>
      </c>
    </row>
    <row r="248" spans="629:633" x14ac:dyDescent="0.35">
      <c r="XE248" t="s">
        <v>251</v>
      </c>
      <c r="XF248">
        <v>7.17</v>
      </c>
      <c r="XH248" t="s">
        <v>251</v>
      </c>
      <c r="XI248">
        <v>7.17</v>
      </c>
    </row>
    <row r="249" spans="629:633" x14ac:dyDescent="0.35">
      <c r="XE249" t="s">
        <v>252</v>
      </c>
      <c r="XF249">
        <v>7.17</v>
      </c>
      <c r="XH249" t="s">
        <v>252</v>
      </c>
      <c r="XI249">
        <v>7.17</v>
      </c>
    </row>
    <row r="250" spans="629:633" x14ac:dyDescent="0.35">
      <c r="XE250" t="s">
        <v>253</v>
      </c>
      <c r="XF250">
        <v>7.17</v>
      </c>
      <c r="XH250" t="s">
        <v>253</v>
      </c>
      <c r="XI250">
        <v>7.17</v>
      </c>
    </row>
    <row r="251" spans="629:633" x14ac:dyDescent="0.35">
      <c r="XE251" t="s">
        <v>254</v>
      </c>
      <c r="XF251">
        <v>7.17</v>
      </c>
      <c r="XH251" t="s">
        <v>254</v>
      </c>
      <c r="XI251">
        <v>7.17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Stock List</vt:lpstr>
      <vt:lpstr>Allocation</vt:lpstr>
      <vt:lpstr>Portfolio Variance</vt:lpstr>
      <vt:lpstr>Stock Data</vt:lpstr>
      <vt:lpstr>Price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 kaukinen</dc:creator>
  <cp:lastModifiedBy>tomas kaukinen</cp:lastModifiedBy>
  <dcterms:created xsi:type="dcterms:W3CDTF">2018-02-18T19:11:51Z</dcterms:created>
  <dcterms:modified xsi:type="dcterms:W3CDTF">2018-04-02T15:28:51Z</dcterms:modified>
</cp:coreProperties>
</file>